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mrej\Downloads\Models 2026\"/>
    </mc:Choice>
  </mc:AlternateContent>
  <xr:revisionPtr revIDLastSave="0" documentId="13_ncr:1_{18137123-77A6-4715-A933-1B43699480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R_Coverage_Detail" sheetId="3" r:id="rId1"/>
    <sheet name="Summar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3" l="1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3" i="3"/>
  <c r="P4" i="3"/>
  <c r="P5" i="3"/>
  <c r="P6" i="3"/>
  <c r="P7" i="3"/>
  <c r="P8" i="3"/>
  <c r="P2" i="3"/>
  <c r="B7" i="4"/>
  <c r="B6" i="4"/>
  <c r="B5" i="4"/>
  <c r="B4" i="4"/>
  <c r="N92" i="3"/>
  <c r="M92" i="3"/>
  <c r="L92" i="3"/>
  <c r="N91" i="3"/>
  <c r="M91" i="3"/>
  <c r="L91" i="3"/>
  <c r="N90" i="3"/>
  <c r="M90" i="3"/>
  <c r="L90" i="3"/>
  <c r="N89" i="3"/>
  <c r="M89" i="3"/>
  <c r="L89" i="3"/>
  <c r="O89" i="3" s="1"/>
  <c r="N88" i="3"/>
  <c r="M88" i="3"/>
  <c r="L88" i="3"/>
  <c r="O88" i="3" s="1"/>
  <c r="N87" i="3"/>
  <c r="M87" i="3"/>
  <c r="L87" i="3"/>
  <c r="N86" i="3"/>
  <c r="M86" i="3"/>
  <c r="L86" i="3"/>
  <c r="N85" i="3"/>
  <c r="M85" i="3"/>
  <c r="L85" i="3"/>
  <c r="O85" i="3" s="1"/>
  <c r="N84" i="3"/>
  <c r="M84" i="3"/>
  <c r="L84" i="3"/>
  <c r="O84" i="3" s="1"/>
  <c r="N83" i="3"/>
  <c r="M83" i="3"/>
  <c r="L83" i="3"/>
  <c r="N82" i="3"/>
  <c r="M82" i="3"/>
  <c r="L82" i="3"/>
  <c r="N81" i="3"/>
  <c r="M81" i="3"/>
  <c r="L81" i="3"/>
  <c r="O81" i="3" s="1"/>
  <c r="N80" i="3"/>
  <c r="M80" i="3"/>
  <c r="L80" i="3"/>
  <c r="N79" i="3"/>
  <c r="M79" i="3"/>
  <c r="L79" i="3"/>
  <c r="N78" i="3"/>
  <c r="M78" i="3"/>
  <c r="L78" i="3"/>
  <c r="N77" i="3"/>
  <c r="M77" i="3"/>
  <c r="L77" i="3"/>
  <c r="O77" i="3" s="1"/>
  <c r="N76" i="3"/>
  <c r="M76" i="3"/>
  <c r="L76" i="3"/>
  <c r="O76" i="3" s="1"/>
  <c r="N75" i="3"/>
  <c r="M75" i="3"/>
  <c r="L75" i="3"/>
  <c r="N74" i="3"/>
  <c r="M74" i="3"/>
  <c r="L74" i="3"/>
  <c r="N73" i="3"/>
  <c r="M73" i="3"/>
  <c r="L73" i="3"/>
  <c r="O73" i="3" s="1"/>
  <c r="N72" i="3"/>
  <c r="M72" i="3"/>
  <c r="L72" i="3"/>
  <c r="O72" i="3" s="1"/>
  <c r="N71" i="3"/>
  <c r="M71" i="3"/>
  <c r="L71" i="3"/>
  <c r="N70" i="3"/>
  <c r="M70" i="3"/>
  <c r="L70" i="3"/>
  <c r="N69" i="3"/>
  <c r="M69" i="3"/>
  <c r="L69" i="3"/>
  <c r="O69" i="3" s="1"/>
  <c r="N68" i="3"/>
  <c r="M68" i="3"/>
  <c r="L68" i="3"/>
  <c r="N67" i="3"/>
  <c r="M67" i="3"/>
  <c r="L67" i="3"/>
  <c r="N66" i="3"/>
  <c r="M66" i="3"/>
  <c r="L66" i="3"/>
  <c r="N65" i="3"/>
  <c r="M65" i="3"/>
  <c r="L65" i="3"/>
  <c r="O65" i="3" s="1"/>
  <c r="N64" i="3"/>
  <c r="M64" i="3"/>
  <c r="L64" i="3"/>
  <c r="O64" i="3" s="1"/>
  <c r="N63" i="3"/>
  <c r="M63" i="3"/>
  <c r="L63" i="3"/>
  <c r="N62" i="3"/>
  <c r="M62" i="3"/>
  <c r="L62" i="3"/>
  <c r="N61" i="3"/>
  <c r="M61" i="3"/>
  <c r="L61" i="3"/>
  <c r="O61" i="3" s="1"/>
  <c r="N60" i="3"/>
  <c r="M60" i="3"/>
  <c r="L60" i="3"/>
  <c r="N59" i="3"/>
  <c r="M59" i="3"/>
  <c r="L59" i="3"/>
  <c r="N58" i="3"/>
  <c r="M58" i="3"/>
  <c r="L58" i="3"/>
  <c r="N57" i="3"/>
  <c r="M57" i="3"/>
  <c r="L57" i="3"/>
  <c r="O57" i="3" s="1"/>
  <c r="N56" i="3"/>
  <c r="M56" i="3"/>
  <c r="L56" i="3"/>
  <c r="N55" i="3"/>
  <c r="M55" i="3"/>
  <c r="L55" i="3"/>
  <c r="N54" i="3"/>
  <c r="M54" i="3"/>
  <c r="L54" i="3"/>
  <c r="N53" i="3"/>
  <c r="M53" i="3"/>
  <c r="L53" i="3"/>
  <c r="O53" i="3" s="1"/>
  <c r="N52" i="3"/>
  <c r="M52" i="3"/>
  <c r="L52" i="3"/>
  <c r="O52" i="3" s="1"/>
  <c r="N51" i="3"/>
  <c r="M51" i="3"/>
  <c r="L51" i="3"/>
  <c r="N50" i="3"/>
  <c r="M50" i="3"/>
  <c r="L50" i="3"/>
  <c r="N49" i="3"/>
  <c r="M49" i="3"/>
  <c r="L49" i="3"/>
  <c r="N48" i="3"/>
  <c r="M48" i="3"/>
  <c r="L48" i="3"/>
  <c r="O48" i="3" s="1"/>
  <c r="N47" i="3"/>
  <c r="M47" i="3"/>
  <c r="L47" i="3"/>
  <c r="N46" i="3"/>
  <c r="M46" i="3"/>
  <c r="L46" i="3"/>
  <c r="N45" i="3"/>
  <c r="M45" i="3"/>
  <c r="L45" i="3"/>
  <c r="N44" i="3"/>
  <c r="M44" i="3"/>
  <c r="L44" i="3"/>
  <c r="N43" i="3"/>
  <c r="M43" i="3"/>
  <c r="L43" i="3"/>
  <c r="N42" i="3"/>
  <c r="M42" i="3"/>
  <c r="L42" i="3"/>
  <c r="N41" i="3"/>
  <c r="M41" i="3"/>
  <c r="L41" i="3"/>
  <c r="N40" i="3"/>
  <c r="M40" i="3"/>
  <c r="L40" i="3"/>
  <c r="N39" i="3"/>
  <c r="M39" i="3"/>
  <c r="L39" i="3"/>
  <c r="N38" i="3"/>
  <c r="M38" i="3"/>
  <c r="L38" i="3"/>
  <c r="N37" i="3"/>
  <c r="M37" i="3"/>
  <c r="L37" i="3"/>
  <c r="O37" i="3" s="1"/>
  <c r="N36" i="3"/>
  <c r="M36" i="3"/>
  <c r="L36" i="3"/>
  <c r="O36" i="3" s="1"/>
  <c r="N35" i="3"/>
  <c r="M35" i="3"/>
  <c r="L35" i="3"/>
  <c r="N34" i="3"/>
  <c r="M34" i="3"/>
  <c r="L34" i="3"/>
  <c r="N33" i="3"/>
  <c r="M33" i="3"/>
  <c r="L33" i="3"/>
  <c r="O33" i="3" s="1"/>
  <c r="N32" i="3"/>
  <c r="M32" i="3"/>
  <c r="L32" i="3"/>
  <c r="N31" i="3"/>
  <c r="M31" i="3"/>
  <c r="L31" i="3"/>
  <c r="N30" i="3"/>
  <c r="M30" i="3"/>
  <c r="L30" i="3"/>
  <c r="N29" i="3"/>
  <c r="M29" i="3"/>
  <c r="L29" i="3"/>
  <c r="O29" i="3" s="1"/>
  <c r="N28" i="3"/>
  <c r="M28" i="3"/>
  <c r="L28" i="3"/>
  <c r="O28" i="3" s="1"/>
  <c r="N27" i="3"/>
  <c r="M27" i="3"/>
  <c r="L27" i="3"/>
  <c r="N26" i="3"/>
  <c r="M26" i="3"/>
  <c r="L26" i="3"/>
  <c r="N25" i="3"/>
  <c r="M25" i="3"/>
  <c r="L25" i="3"/>
  <c r="O25" i="3" s="1"/>
  <c r="N24" i="3"/>
  <c r="M24" i="3"/>
  <c r="L24" i="3"/>
  <c r="O24" i="3" s="1"/>
  <c r="N23" i="3"/>
  <c r="M23" i="3"/>
  <c r="L23" i="3"/>
  <c r="N22" i="3"/>
  <c r="M22" i="3"/>
  <c r="L22" i="3"/>
  <c r="N21" i="3"/>
  <c r="M21" i="3"/>
  <c r="L21" i="3"/>
  <c r="O21" i="3" s="1"/>
  <c r="N20" i="3"/>
  <c r="M20" i="3"/>
  <c r="L20" i="3"/>
  <c r="N19" i="3"/>
  <c r="M19" i="3"/>
  <c r="L19" i="3"/>
  <c r="N18" i="3"/>
  <c r="M18" i="3"/>
  <c r="L18" i="3"/>
  <c r="N17" i="3"/>
  <c r="M17" i="3"/>
  <c r="L17" i="3"/>
  <c r="O17" i="3" s="1"/>
  <c r="N16" i="3"/>
  <c r="M16" i="3"/>
  <c r="L16" i="3"/>
  <c r="O16" i="3" s="1"/>
  <c r="N15" i="3"/>
  <c r="M15" i="3"/>
  <c r="L15" i="3"/>
  <c r="N14" i="3"/>
  <c r="M14" i="3"/>
  <c r="L14" i="3"/>
  <c r="N13" i="3"/>
  <c r="M13" i="3"/>
  <c r="L13" i="3"/>
  <c r="O13" i="3" s="1"/>
  <c r="N12" i="3"/>
  <c r="M12" i="3"/>
  <c r="L12" i="3"/>
  <c r="O12" i="3" s="1"/>
  <c r="N11" i="3"/>
  <c r="M11" i="3"/>
  <c r="L11" i="3"/>
  <c r="N10" i="3"/>
  <c r="M10" i="3"/>
  <c r="L10" i="3"/>
  <c r="N9" i="3"/>
  <c r="M9" i="3"/>
  <c r="L9" i="3"/>
  <c r="O9" i="3" s="1"/>
  <c r="N8" i="3"/>
  <c r="M8" i="3"/>
  <c r="L8" i="3"/>
  <c r="N7" i="3"/>
  <c r="M7" i="3"/>
  <c r="L7" i="3"/>
  <c r="N6" i="3"/>
  <c r="M6" i="3"/>
  <c r="L6" i="3"/>
  <c r="N5" i="3"/>
  <c r="M5" i="3"/>
  <c r="L5" i="3"/>
  <c r="O5" i="3" s="1"/>
  <c r="N4" i="3"/>
  <c r="M4" i="3"/>
  <c r="L4" i="3"/>
  <c r="O4" i="3" s="1"/>
  <c r="N3" i="3"/>
  <c r="M3" i="3"/>
  <c r="L3" i="3"/>
  <c r="N2" i="3"/>
  <c r="M2" i="3"/>
  <c r="L2" i="3"/>
  <c r="O83" i="3" l="1"/>
  <c r="O10" i="3"/>
  <c r="O14" i="3"/>
  <c r="O18" i="3"/>
  <c r="O26" i="3"/>
  <c r="O34" i="3"/>
  <c r="O38" i="3"/>
  <c r="O46" i="3"/>
  <c r="O50" i="3"/>
  <c r="O54" i="3"/>
  <c r="O58" i="3"/>
  <c r="O62" i="3"/>
  <c r="O70" i="3"/>
  <c r="O74" i="3"/>
  <c r="O82" i="3"/>
  <c r="O86" i="3"/>
  <c r="O15" i="3"/>
  <c r="O49" i="3"/>
  <c r="O19" i="3"/>
  <c r="O27" i="3"/>
  <c r="O31" i="3"/>
  <c r="O39" i="3"/>
  <c r="O43" i="3"/>
  <c r="O51" i="3"/>
  <c r="O55" i="3"/>
  <c r="O63" i="3"/>
  <c r="O67" i="3"/>
  <c r="O87" i="3"/>
  <c r="O91" i="3"/>
  <c r="O68" i="3"/>
  <c r="O8" i="3"/>
  <c r="O23" i="3"/>
  <c r="O30" i="3"/>
  <c r="O80" i="3"/>
  <c r="O42" i="3"/>
  <c r="O35" i="3"/>
  <c r="O92" i="3"/>
  <c r="O20" i="3"/>
  <c r="O32" i="3"/>
  <c r="O44" i="3"/>
  <c r="O59" i="3"/>
  <c r="O66" i="3"/>
  <c r="O6" i="3"/>
  <c r="O78" i="3"/>
  <c r="O3" i="3"/>
  <c r="O7" i="3"/>
  <c r="O22" i="3"/>
  <c r="O41" i="3"/>
  <c r="O60" i="3"/>
  <c r="O71" i="3"/>
  <c r="O75" i="3"/>
  <c r="O79" i="3"/>
  <c r="O45" i="3"/>
  <c r="O56" i="3"/>
  <c r="O90" i="3"/>
  <c r="B10" i="4"/>
  <c r="O11" i="3"/>
  <c r="O40" i="3"/>
  <c r="O47" i="3"/>
  <c r="B8" i="4"/>
  <c r="O2" i="3"/>
  <c r="B9" i="4"/>
  <c r="B11" i="4" l="1"/>
  <c r="E5" i="4"/>
  <c r="B17" i="4"/>
  <c r="B16" i="4"/>
  <c r="E4" i="4"/>
  <c r="E6" i="4"/>
  <c r="B18" i="4"/>
  <c r="E7" i="4" l="1"/>
  <c r="B12" i="4"/>
</calcChain>
</file>

<file path=xl/sharedStrings.xml><?xml version="1.0" encoding="utf-8"?>
<sst xmlns="http://schemas.openxmlformats.org/spreadsheetml/2006/main" count="734" uniqueCount="356">
  <si>
    <t>FR_ID</t>
  </si>
  <si>
    <t>Section</t>
  </si>
  <si>
    <t>Primary Actor/Owner</t>
  </si>
  <si>
    <t>Dominant Dimension</t>
  </si>
  <si>
    <t>Atomic Functional Requirement</t>
  </si>
  <si>
    <t>Mapped UC IDs</t>
  </si>
  <si>
    <t>UC Count</t>
  </si>
  <si>
    <t>Mapped BR IDs</t>
  </si>
  <si>
    <t>BR Count</t>
  </si>
  <si>
    <t>Mapped WF IDs</t>
  </si>
  <si>
    <t>WF Count</t>
  </si>
  <si>
    <t>Has UC</t>
  </si>
  <si>
    <t>Has BR</t>
  </si>
  <si>
    <t>Has WF</t>
  </si>
  <si>
    <t>Covered by Any</t>
  </si>
  <si>
    <t>Overlap Category</t>
  </si>
  <si>
    <t>HM-FR-001</t>
  </si>
  <si>
    <t>3.1</t>
  </si>
  <si>
    <t>Student</t>
  </si>
  <si>
    <t>Interaction</t>
  </si>
  <si>
    <t>Student submits hostel accommodation request through the system.</t>
  </si>
  <si>
    <t>HM-UC-010</t>
  </si>
  <si>
    <t>BR-HM-111</t>
  </si>
  <si>
    <t>HM-WF-103</t>
  </si>
  <si>
    <t>HM-FR-002</t>
  </si>
  <si>
    <t>System</t>
  </si>
  <si>
    <t>Behavior</t>
  </si>
  <si>
    <t>System records and manages hostel accommodation application details and application status.</t>
  </si>
  <si>
    <t>HM-FR-003</t>
  </si>
  <si>
    <t>Super Admin</t>
  </si>
  <si>
    <t>Super Admin performs hostel and room allotment decisions in batch-oriented institutional processes.</t>
  </si>
  <si>
    <t>HM-UC-011</t>
  </si>
  <si>
    <t>BR-HM-113</t>
  </si>
  <si>
    <t>HM-FR-004</t>
  </si>
  <si>
    <t>Super Admin performs centrally controlled room re-allotments where required.</t>
  </si>
  <si>
    <t>HM-FR-005</t>
  </si>
  <si>
    <t>Super Admin performs formal room-vacation updates that change institutional hostel occupancy records.</t>
  </si>
  <si>
    <t>HM-UC-029, HM-UC-030, HM-UC-031</t>
  </si>
  <si>
    <t>BR-HM-015, BR-HM-028</t>
  </si>
  <si>
    <t>HM-WF-109</t>
  </si>
  <si>
    <t>HM-FR-006</t>
  </si>
  <si>
    <t>Constraint</t>
  </si>
  <si>
    <t>System maintains room assignment history for audit, traceability, and review.</t>
  </si>
  <si>
    <t>HM-UC-012</t>
  </si>
  <si>
    <t>HM-FR-007</t>
  </si>
  <si>
    <t>Student views current room allocation information permitted to the student.</t>
  </si>
  <si>
    <t>HM-UC-042</t>
  </si>
  <si>
    <t>BR-HM-012</t>
  </si>
  <si>
    <t>HM-FR-008</t>
  </si>
  <si>
    <t>Student views historical room allocation information permitted to the student.</t>
  </si>
  <si>
    <t>HM-FR-009</t>
  </si>
  <si>
    <t>3.2</t>
  </si>
  <si>
    <t>Caretaker</t>
  </si>
  <si>
    <t>Caretaker maintains hostel-level room availability information.</t>
  </si>
  <si>
    <t>HM-UC-015</t>
  </si>
  <si>
    <t>HM-WF-104</t>
  </si>
  <si>
    <t>HM-FR-010</t>
  </si>
  <si>
    <t>Caretaker maintains hostel-level room occupancy information.</t>
  </si>
  <si>
    <t>HM-FR-011</t>
  </si>
  <si>
    <t>System updates room occupancy based on approved allotments, re-allotments, vacations, and authorized individual exchanges.</t>
  </si>
  <si>
    <t>HM-UC-015, HM-UC-031</t>
  </si>
  <si>
    <t>BR-HM-117, BR-HM-023</t>
  </si>
  <si>
    <t>HM-WF-104, HM-WF-109</t>
  </si>
  <si>
    <t>HM-FR-012</t>
  </si>
  <si>
    <t>Caretaker handles individual room exchange operations within authorized hostel-level scope and policy limits.</t>
  </si>
  <si>
    <t>HM-UC-013, HM-UC-014</t>
  </si>
  <si>
    <t>BR-HM-115, BR-HM-116</t>
  </si>
  <si>
    <t>HM-FR-013</t>
  </si>
  <si>
    <t>Warden</t>
  </si>
  <si>
    <t>Warden reviews room assignments and occupancy patterns for planning, discipline, and compliance.</t>
  </si>
  <si>
    <t>HM-UC-014</t>
  </si>
  <si>
    <t>BR-HM-116</t>
  </si>
  <si>
    <t>HM-FR-014</t>
  </si>
  <si>
    <t>System prevents room occupancy from exceeding defined room capacity.</t>
  </si>
  <si>
    <t>BR-HM-112</t>
  </si>
  <si>
    <t>HM-FR-015</t>
  </si>
  <si>
    <t>System maintains up-to-date room status information needed for hostel operations.</t>
  </si>
  <si>
    <t>HM-FR-016</t>
  </si>
  <si>
    <t>3.3</t>
  </si>
  <si>
    <t>Caretaker records student attendance according to hostel operational practice.</t>
  </si>
  <si>
    <t>HM-UC-043</t>
  </si>
  <si>
    <t>HM-FR-017</t>
  </si>
  <si>
    <t>Caretaker monitors student attendance according to hostel operational practice.</t>
  </si>
  <si>
    <t>HM-FR-018</t>
  </si>
  <si>
    <t>System links attendance information with leave decisions where applicable.</t>
  </si>
  <si>
    <t>HM-UC-004</t>
  </si>
  <si>
    <t>BR-HM-105</t>
  </si>
  <si>
    <t>HM-WF-101</t>
  </si>
  <si>
    <t>HM-FR-019</t>
  </si>
  <si>
    <t>System supports disciplinary review using attendance information where applicable.</t>
  </si>
  <si>
    <t>HM-FR-020</t>
  </si>
  <si>
    <t>Warden views attendance summaries, trends, and exceptions for oversight.</t>
  </si>
  <si>
    <t>HM-FR-021</t>
  </si>
  <si>
    <t>System retains attendance records for reporting, monitoring, and compliance purposes.</t>
  </si>
  <si>
    <t>HM-FR-022</t>
  </si>
  <si>
    <t>3.4</t>
  </si>
  <si>
    <t>Student submits leave request with required supporting information or documents.</t>
  </si>
  <si>
    <t>HM-UC-001</t>
  </si>
  <si>
    <t>BR-HM-101, BR-HM-102, BR-HM-103, BR-HM-022</t>
  </si>
  <si>
    <t>HM-FR-023</t>
  </si>
  <si>
    <t>Caretaker approves leave request according to hostel policy.</t>
  </si>
  <si>
    <t>HM-UC-002</t>
  </si>
  <si>
    <t>BR-HM-104</t>
  </si>
  <si>
    <t>HM-FR-024</t>
  </si>
  <si>
    <t>Caretaker rejects leave request according to hostel policy.</t>
  </si>
  <si>
    <t>HM-FR-025</t>
  </si>
  <si>
    <t>System issues status updates to the student for submitted leave requests.</t>
  </si>
  <si>
    <t>HM-UC-003, HM-UC-004</t>
  </si>
  <si>
    <t>HM-FR-026</t>
  </si>
  <si>
    <t>System links leave records with attendance where applicable.</t>
  </si>
  <si>
    <t>HM-FR-027</t>
  </si>
  <si>
    <t>System makes leave records available to support security or supervisory planning.</t>
  </si>
  <si>
    <t>HM-FR-028</t>
  </si>
  <si>
    <t>System retains leave history for audit, review, and reporting.</t>
  </si>
  <si>
    <t>HM-UC-003</t>
  </si>
  <si>
    <t>HM-FR-029</t>
  </si>
  <si>
    <t>3.5</t>
  </si>
  <si>
    <t>Student submits complaint related to hostel facilities, services, infrastructure, or operational issues.</t>
  </si>
  <si>
    <t>HM-UC-006</t>
  </si>
  <si>
    <t>BR-HM-106, BR-HM-022</t>
  </si>
  <si>
    <t>HM-WF-102</t>
  </si>
  <si>
    <t>HM-FR-030</t>
  </si>
  <si>
    <t>System records complaint category, description, and optional attachment support where applicable.</t>
  </si>
  <si>
    <t>BR-HM-107</t>
  </si>
  <si>
    <t>HM-FR-031</t>
  </si>
  <si>
    <t>Caretaker reviews complaint within operational authority.</t>
  </si>
  <si>
    <t>HM-UC-007</t>
  </si>
  <si>
    <t>HM-FR-032</t>
  </si>
  <si>
    <t>Caretaker addresses complaint within operational authority.</t>
  </si>
  <si>
    <t>BR-HM-108</t>
  </si>
  <si>
    <t>HM-FR-033</t>
  </si>
  <si>
    <t>Caretaker updates complaint status within operational authority.</t>
  </si>
  <si>
    <t>HM-FR-034</t>
  </si>
  <si>
    <t>Warden monitors unresolved, delayed, or escalated complaints.</t>
  </si>
  <si>
    <t>HM-UC-008</t>
  </si>
  <si>
    <t>BR-HM-109, BR-HM-110</t>
  </si>
  <si>
    <t>HM-FR-035</t>
  </si>
  <si>
    <t>System tracks complaint history and resolution status for review and reporting.</t>
  </si>
  <si>
    <t>HM-UC-009</t>
  </si>
  <si>
    <t>HM-FR-036</t>
  </si>
  <si>
    <t>3.6</t>
  </si>
  <si>
    <t>Student submits guest room booking request through the system.</t>
  </si>
  <si>
    <t>HM-UC-036</t>
  </si>
  <si>
    <t>BR-HM-051, BR-HM-052, BR-HM-053, BR-HM-054, BR-HM-055</t>
  </si>
  <si>
    <t>HM-WF-112</t>
  </si>
  <si>
    <t>HM-FR-037</t>
  </si>
  <si>
    <t>System checks guest room availability before booking approval decision is recorded.</t>
  </si>
  <si>
    <t>HM-FR-038</t>
  </si>
  <si>
    <t>Caretaker approves guest room booking request within authorized scope.</t>
  </si>
  <si>
    <t>HM-UC-037</t>
  </si>
  <si>
    <t>BR-HM-051</t>
  </si>
  <si>
    <t>HM-FR-039</t>
  </si>
  <si>
    <t>Caretaker rejects guest room booking request within authorized scope.</t>
  </si>
  <si>
    <t>HM-FR-040</t>
  </si>
  <si>
    <t>System maintains guest room booking history for audit, planning, and security purposes.</t>
  </si>
  <si>
    <t>HM-FR-041</t>
  </si>
  <si>
    <t>3.7</t>
  </si>
  <si>
    <t>Student submits extended-stay request during vacations or semester breaks within the defined application window.</t>
  </si>
  <si>
    <t>HM-UC-038</t>
  </si>
  <si>
    <t>BR-HM-022, BR-HM-061, BR-HM-062, BR-HM-063</t>
  </si>
  <si>
    <t>HM-WF-113</t>
  </si>
  <si>
    <t>HM-FR-042</t>
  </si>
  <si>
    <t>System records extended-stay request details, requested period, and decision status.</t>
  </si>
  <si>
    <t>HM-FR-043</t>
  </si>
  <si>
    <t>System records applicable payment, charge, or fee amount for extended stay according to policy where such charges apply.</t>
  </si>
  <si>
    <t>HM-UC-038, HM-UC-040</t>
  </si>
  <si>
    <t>BR-HM-064</t>
  </si>
  <si>
    <t>HM-FR-044</t>
  </si>
  <si>
    <t>System records payment/deadline compliance information relevant to the extended-stay decision and continuation of stay.</t>
  </si>
  <si>
    <t>HM-UC-040</t>
  </si>
  <si>
    <t>BR-HM-073</t>
  </si>
  <si>
    <t>HM-FR-045</t>
  </si>
  <si>
    <t>Authorized role</t>
  </si>
  <si>
    <t>Extended-stay request is approved according to defined hostel policy and authorized role responsibility.</t>
  </si>
  <si>
    <t>HM-UC-039</t>
  </si>
  <si>
    <t>BR-HM-061, BR-HM-063, BR-HM-066, BR-HM-067</t>
  </si>
  <si>
    <t>HM-FR-046</t>
  </si>
  <si>
    <t>Extended-stay request is rejected according to defined hostel policy and authorized role responsibility.</t>
  </si>
  <si>
    <t>HM-FR-047</t>
  </si>
  <si>
    <t>3.8</t>
  </si>
  <si>
    <t>Caretaker imposes fine for hostel rule violation, damage, or other authorized disciplinary reason within authorized scope.</t>
  </si>
  <si>
    <t>HM-UC-016</t>
  </si>
  <si>
    <t>BR-HM-013</t>
  </si>
  <si>
    <t>HM-WF-105</t>
  </si>
  <si>
    <t>HM-FR-048</t>
  </si>
  <si>
    <t>System records each fine with reason, amount, date, and affected student reference.</t>
  </si>
  <si>
    <t>BR-HM-013, BR-HM-014</t>
  </si>
  <si>
    <t>HM-FR-049</t>
  </si>
  <si>
    <t>Student views imposed fines and fine history relevant to the student.</t>
  </si>
  <si>
    <t>HM-UC-017</t>
  </si>
  <si>
    <t>HM-FR-050</t>
  </si>
  <si>
    <t>Warden reviews fine summaries and disciplinary patterns for oversight.</t>
  </si>
  <si>
    <t>HM-UC-018</t>
  </si>
  <si>
    <t>BR-HM-014</t>
  </si>
  <si>
    <t>HM-FR-051</t>
  </si>
  <si>
    <t>3.9</t>
  </si>
  <si>
    <t>Caretaker maintains hostel inventory records relevant to hostel operations.</t>
  </si>
  <si>
    <t>HM-UC-026, HM-UC-028</t>
  </si>
  <si>
    <t>BR-HM-021, BR-HM-030</t>
  </si>
  <si>
    <t>HM-WF-108</t>
  </si>
  <si>
    <t>HM-FR-052</t>
  </si>
  <si>
    <t>Operational staff-related information needed for hostel functioning is available for coordination within authorized roles.</t>
  </si>
  <si>
    <t>HM-UC-023</t>
  </si>
  <si>
    <t>HM-FR-053</t>
  </si>
  <si>
    <t>Warden/Super Admin</t>
  </si>
  <si>
    <t>Warden and Super Admin review relevant staff assignments or operational shift information.</t>
  </si>
  <si>
    <t>HM-UC-023, HM-UC-024</t>
  </si>
  <si>
    <t>HM-WF-107, HM-WF-108</t>
  </si>
  <si>
    <t>HM-FR-054</t>
  </si>
  <si>
    <t>System logs inventory updates and usage-relevant changes for accountability.</t>
  </si>
  <si>
    <t>BR-HM-021, BR-HM-031</t>
  </si>
  <si>
    <t>HM-FR-055</t>
  </si>
  <si>
    <t>3.10</t>
  </si>
  <si>
    <t>Warden manages or supervises security guard shift schedules.</t>
  </si>
  <si>
    <t>HM-UC-024</t>
  </si>
  <si>
    <t>BR-HM-016, BR-HM-026</t>
  </si>
  <si>
    <t>HM-WF-107</t>
  </si>
  <si>
    <t>HM-FR-056</t>
  </si>
  <si>
    <t>System allows guard schedules to be updated in response to occupancy conditions, events, incidents, or operational needs.</t>
  </si>
  <si>
    <t>HM-FR-057</t>
  </si>
  <si>
    <t>System maintains security-related records to support monitoring, incident investigation, and compliance review.</t>
  </si>
  <si>
    <t>HM-UC-025</t>
  </si>
  <si>
    <t>BR-HM-026, BR-HM-027</t>
  </si>
  <si>
    <t>HM-FR-058</t>
  </si>
  <si>
    <t>3.11</t>
  </si>
  <si>
    <t>Caretaker/Warden</t>
  </si>
  <si>
    <t>Caretaker and Warden publish hostel notices and announcements within their authority.</t>
  </si>
  <si>
    <t>HM-UC-032</t>
  </si>
  <si>
    <t>BR-HM-022, BR-HM-029, BR-HM-033</t>
  </si>
  <si>
    <t>HM-WF-110</t>
  </si>
  <si>
    <t>HM-FR-059</t>
  </si>
  <si>
    <t>System provides students visibility or notification for relevant notices and announcements.</t>
  </si>
  <si>
    <t>HM-UC-033</t>
  </si>
  <si>
    <t>BR-HM-012, BR-HM-033, BR-HM-035, BR-HM-039</t>
  </si>
  <si>
    <t>HM-FR-060</t>
  </si>
  <si>
    <t>System maintains notice history for reference, transparency, and auditability.</t>
  </si>
  <si>
    <t>BR-HM-033, BR-HM-035</t>
  </si>
  <si>
    <t>HM-FR-061</t>
  </si>
  <si>
    <t>System provides a notice board as a default hostel information surface for module users.</t>
  </si>
  <si>
    <t>BR-HM-035, BR-HM-039</t>
  </si>
  <si>
    <t>HM-FR-062</t>
  </si>
  <si>
    <t>3.12</t>
  </si>
  <si>
    <t>System supports occupancy and room utilization reporting.</t>
  </si>
  <si>
    <t>HM-UC-034</t>
  </si>
  <si>
    <t>BR-HM-040, BR-HM-043, BR-HM-044, BR-HM-050</t>
  </si>
  <si>
    <t>HM-WF-111</t>
  </si>
  <si>
    <t>HM-FR-063</t>
  </si>
  <si>
    <t>System supports attendance and leave summary reporting.</t>
  </si>
  <si>
    <t>HM-UC-005, HM-UC-034</t>
  </si>
  <si>
    <t>HM-FR-064</t>
  </si>
  <si>
    <t>System supports fine and disciplinary summary reporting.</t>
  </si>
  <si>
    <t>HM-UC-018, HM-UC-034</t>
  </si>
  <si>
    <t>HM-WF-105, HM-WF-111</t>
  </si>
  <si>
    <t>HM-FR-065</t>
  </si>
  <si>
    <t>System supports complaint and resolution statistics reporting.</t>
  </si>
  <si>
    <t>HM-UC-009, HM-UC-034</t>
  </si>
  <si>
    <t>HM-FR-066</t>
  </si>
  <si>
    <t>System supports extended-stay summary reporting.</t>
  </si>
  <si>
    <t>HM-FR-067</t>
  </si>
  <si>
    <t>System supports hostel-level operational reporting for Caretakers.</t>
  </si>
  <si>
    <t>BR-HM-040, BR-HM-043, BR-HM-044, BR-HM-045, BR-HM-050</t>
  </si>
  <si>
    <t>HM-FR-068</t>
  </si>
  <si>
    <t>System supports institution-level or cross-hostel monitoring reporting for Super Admin.</t>
  </si>
  <si>
    <t>HM-UC-035</t>
  </si>
  <si>
    <t>BR-HM-040, BR-HM-043, BR-HM-044, BR-HM-045, BR-HM-046, BR-HM-050</t>
  </si>
  <si>
    <t>HM-FR-069</t>
  </si>
  <si>
    <t>3.13</t>
  </si>
  <si>
    <t>System issues room allotment and room allocation change notifications or status updates.</t>
  </si>
  <si>
    <t>HM-UC-012, HM-UC-015</t>
  </si>
  <si>
    <t>BR-HM-114, BR-HM-118</t>
  </si>
  <si>
    <t>HM-WF-103, HM-WF-104</t>
  </si>
  <si>
    <t>HM-FR-070</t>
  </si>
  <si>
    <t>System issues leave request submission and leave decision notifications or status updates.</t>
  </si>
  <si>
    <t>HM-FR-071</t>
  </si>
  <si>
    <t>System issues complaint submission, update, and resolution notifications or status updates.</t>
  </si>
  <si>
    <t>HM-FR-072</t>
  </si>
  <si>
    <t>System issues guest room booking status notifications or status updates.</t>
  </si>
  <si>
    <t>HM-FR-073</t>
  </si>
  <si>
    <t>System issues extended-stay request status and payment/deadline alerts where applicable.</t>
  </si>
  <si>
    <t>HM-FR-074</t>
  </si>
  <si>
    <t>System issues fine imposition notifications or status updates.</t>
  </si>
  <si>
    <t>HM-FR-075</t>
  </si>
  <si>
    <t>System issues notice and announcement visibility/notification updates.</t>
  </si>
  <si>
    <t>HM-FR-076</t>
  </si>
  <si>
    <t>3.14</t>
  </si>
  <si>
    <t>Super Admin assigns Warden roles for hostels.</t>
  </si>
  <si>
    <t>HM-UC-021</t>
  </si>
  <si>
    <t>HM-WF-106</t>
  </si>
  <si>
    <t>HM-FR-077</t>
  </si>
  <si>
    <t>Super Admin reassigns Warden roles for hostels.</t>
  </si>
  <si>
    <t>HM-FR-078</t>
  </si>
  <si>
    <t>Super Admin assigns Caretaker roles for hostels.</t>
  </si>
  <si>
    <t>HM-UC-022</t>
  </si>
  <si>
    <t>HM-FR-079</t>
  </si>
  <si>
    <t>Super Admin reassigns Caretaker roles for hostels.</t>
  </si>
  <si>
    <t>HM-FR-080</t>
  </si>
  <si>
    <t>System supports hostel-specific role assignment.</t>
  </si>
  <si>
    <t>HM-UC-021, HM-UC-022</t>
  </si>
  <si>
    <t>BR-HM-019</t>
  </si>
  <si>
    <t>HM-FR-081</t>
  </si>
  <si>
    <t>System supports time-bound roles where configured.</t>
  </si>
  <si>
    <t>HM-FR-082</t>
  </si>
  <si>
    <t>System applies configured administrative rules when role changes take effect.</t>
  </si>
  <si>
    <t>HM-FR-083</t>
  </si>
  <si>
    <t>System supports controlled transfer of pending operational responsibilities to newly assigned personnel.</t>
  </si>
  <si>
    <t>HM-FR-084</t>
  </si>
  <si>
    <t>RBAC ensures users access only hostel data and functions permitted for their role.</t>
  </si>
  <si>
    <t>BR-HM-012, BR-HM-039, BR-HM-040</t>
  </si>
  <si>
    <t>HM-FR-085</t>
  </si>
  <si>
    <t>3.0</t>
  </si>
  <si>
    <t>Super Admin creates hostels in the system.</t>
  </si>
  <si>
    <t>HM-UC-019</t>
  </si>
  <si>
    <t>BR-HM-025</t>
  </si>
  <si>
    <t>HM-FR-086</t>
  </si>
  <si>
    <t>Super Admin activates and deactivates hostels in the system.</t>
  </si>
  <si>
    <t>HM-UC-020</t>
  </si>
  <si>
    <t>BR-HM-008, BR-HM-025</t>
  </si>
  <si>
    <t>HM-FR-087</t>
  </si>
  <si>
    <t>Super Admin activates and deactivates Warden role assignments for hostels as required by administrative policy.</t>
  </si>
  <si>
    <t>HM-FR-088</t>
  </si>
  <si>
    <t>Super Admin activates and deactivates Caretaker role assignments for hostels as required by administrative policy.</t>
  </si>
  <si>
    <t>HM-FR-089</t>
  </si>
  <si>
    <t>Student views attendance status or attendance-related information made available under hostel policy.</t>
  </si>
  <si>
    <t>HM-UC-041</t>
  </si>
  <si>
    <t>HM-FR-090</t>
  </si>
  <si>
    <t>Student views leave status and leave-history information made available under hostel policy.</t>
  </si>
  <si>
    <t>HM-FR-091</t>
  </si>
  <si>
    <t>Warden reviews leave information and leave summaries for oversight, control, and supervisory planning.</t>
  </si>
  <si>
    <t>HM-UC-005</t>
  </si>
  <si>
    <t>Counts and Coverage Summary</t>
  </si>
  <si>
    <t>Headline counts</t>
  </si>
  <si>
    <t>Coverage percentages</t>
  </si>
  <si>
    <t>Interpretive note</t>
  </si>
  <si>
    <t>Baseline FR count</t>
  </si>
  <si>
    <t>UC coverage</t>
  </si>
  <si>
    <t>Use Cases and Workflows carry most baseline FR coverage; Business Rules cover the policy-bearing subset. Overall triad coverage is complete after repair.</t>
  </si>
  <si>
    <t>Final UC count</t>
  </si>
  <si>
    <t>BR coverage</t>
  </si>
  <si>
    <t>Final BR count</t>
  </si>
  <si>
    <t>WF coverage</t>
  </si>
  <si>
    <t>Final WF count</t>
  </si>
  <si>
    <t>Overall triad coverage</t>
  </si>
  <si>
    <t>FRs mapped to at least one UC</t>
  </si>
  <si>
    <t>FRs mapped to at least one BR</t>
  </si>
  <si>
    <t>FRs mapped to at least one WF</t>
  </si>
  <si>
    <t>FRs mapped to at least one artifact</t>
  </si>
  <si>
    <t>Uncovered FRs</t>
  </si>
  <si>
    <t>Artifact-wise FR coverage</t>
  </si>
  <si>
    <t>UC</t>
  </si>
  <si>
    <t>BR</t>
  </si>
  <si>
    <t>WF</t>
  </si>
  <si>
    <t>Added UC - HM-UC-015.UC015 is also relevant to the FR</t>
  </si>
  <si>
    <t>Added UC - HM-WF-101.WF-101 is also relevant to the FR</t>
  </si>
  <si>
    <t>Inappropiate mapping of UC</t>
  </si>
  <si>
    <t>Not Appropiate mapping of UC</t>
  </si>
  <si>
    <t xml:space="preserve">Review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</si>
</sst>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1F1F"/>
      <name val="Calibri"/>
    </font>
    <font>
      <b/>
      <sz val="12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FRs mapped per artifact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Summary!$A$16:$A$18</c:f>
              <c:strCache>
                <c:ptCount val="3"/>
                <c:pt idx="0">
                  <c:v>UC</c:v>
                </c:pt>
                <c:pt idx="1">
                  <c:v>BR</c:v>
                </c:pt>
                <c:pt idx="2">
                  <c:v>WF</c:v>
                </c:pt>
              </c:strCache>
            </c:strRef>
          </c:cat>
          <c:val>
            <c:numRef>
              <c:f>Summary!$B$16:$B$18</c:f>
              <c:numCache>
                <c:formatCode>General</c:formatCode>
                <c:ptCount val="3"/>
                <c:pt idx="0">
                  <c:v>88</c:v>
                </c:pt>
                <c:pt idx="1">
                  <c:v>62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1-475F-A2DA-3AD046566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14</xdr:row>
      <xdr:rowOff>0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2"/>
  <sheetViews>
    <sheetView showGridLines="0" tabSelected="1" topLeftCell="E1" zoomScale="85" workbookViewId="0">
      <pane ySplit="1" topLeftCell="A2" activePane="bottomLeft" state="frozen"/>
      <selection pane="bottomLeft" activeCell="Q6" sqref="Q6"/>
    </sheetView>
  </sheetViews>
  <sheetFormatPr defaultRowHeight="14.4" x14ac:dyDescent="0.3"/>
  <cols>
    <col min="1" max="1" width="13" customWidth="1"/>
    <col min="2" max="2" width="9" customWidth="1"/>
    <col min="3" max="3" width="14" customWidth="1"/>
    <col min="4" max="4" width="20" customWidth="1"/>
    <col min="5" max="5" width="62" customWidth="1"/>
    <col min="6" max="6" width="26" customWidth="1"/>
    <col min="7" max="7" width="10" customWidth="1"/>
    <col min="8" max="8" width="26" customWidth="1"/>
    <col min="9" max="9" width="10" customWidth="1"/>
    <col min="10" max="10" width="22" customWidth="1"/>
    <col min="11" max="11" width="10" customWidth="1"/>
    <col min="12" max="14" width="8" customWidth="1"/>
    <col min="15" max="15" width="10" customWidth="1"/>
    <col min="16" max="16" width="18" customWidth="1"/>
    <col min="17" max="17" width="56.109375" customWidth="1"/>
  </cols>
  <sheetData>
    <row r="1" spans="1:17" ht="28.8" x14ac:dyDescent="0.3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355</v>
      </c>
    </row>
    <row r="2" spans="1:17" x14ac:dyDescent="0.3">
      <c r="A2" s="7" t="s">
        <v>16</v>
      </c>
      <c r="B2" s="7" t="s">
        <v>17</v>
      </c>
      <c r="C2" s="7" t="s">
        <v>19</v>
      </c>
      <c r="D2" s="7" t="s">
        <v>18</v>
      </c>
      <c r="E2" s="7" t="s">
        <v>20</v>
      </c>
      <c r="F2" s="7" t="s">
        <v>21</v>
      </c>
      <c r="G2" s="8">
        <v>1</v>
      </c>
      <c r="H2" s="7" t="s">
        <v>22</v>
      </c>
      <c r="I2" s="8">
        <v>1</v>
      </c>
      <c r="J2" s="7" t="s">
        <v>23</v>
      </c>
      <c r="K2" s="8">
        <v>1</v>
      </c>
      <c r="L2" s="8">
        <f t="shared" ref="L2:L33" si="0">IF(G2&gt;0,1,0)</f>
        <v>1</v>
      </c>
      <c r="M2" s="8">
        <f t="shared" ref="M2:M33" si="1">IF(I2&gt;0,1,0)</f>
        <v>1</v>
      </c>
      <c r="N2" s="8">
        <f t="shared" ref="N2:N33" si="2">IF(K2&gt;0,1,0)</f>
        <v>1</v>
      </c>
      <c r="O2" s="8">
        <f t="shared" ref="O2:O33" si="3">IF(OR(L2=1,M2=1,N2=1),1,0)</f>
        <v>1</v>
      </c>
      <c r="P2" s="7" t="str">
        <f>IF(O2=0,"Uncovered",_xlfn.TEXTJOIN(" + ",TRUE,IF(L2=1,"UC",""),IF(M2=1,"BR",""),IF(N2=1,"WF","")))</f>
        <v>UC + BR + WF</v>
      </c>
      <c r="Q2" s="6"/>
    </row>
    <row r="3" spans="1:17" ht="28.8" x14ac:dyDescent="0.3">
      <c r="A3" s="7" t="s">
        <v>24</v>
      </c>
      <c r="B3" s="7" t="s">
        <v>17</v>
      </c>
      <c r="C3" s="7" t="s">
        <v>26</v>
      </c>
      <c r="D3" s="7" t="s">
        <v>25</v>
      </c>
      <c r="E3" s="7" t="s">
        <v>27</v>
      </c>
      <c r="F3" s="7" t="s">
        <v>21</v>
      </c>
      <c r="G3" s="8">
        <v>1</v>
      </c>
      <c r="H3" s="7"/>
      <c r="I3" s="8">
        <v>0</v>
      </c>
      <c r="J3" s="7" t="s">
        <v>23</v>
      </c>
      <c r="K3" s="8">
        <v>1</v>
      </c>
      <c r="L3" s="8">
        <f t="shared" si="0"/>
        <v>1</v>
      </c>
      <c r="M3" s="8">
        <f t="shared" si="1"/>
        <v>0</v>
      </c>
      <c r="N3" s="8">
        <f t="shared" si="2"/>
        <v>1</v>
      </c>
      <c r="O3" s="8">
        <f t="shared" si="3"/>
        <v>1</v>
      </c>
      <c r="P3" s="7" t="str">
        <f t="shared" ref="P3:P66" si="4">IF(O3=0,"Uncovered",_xlfn.TEXTJOIN(" + ",TRUE,IF(L3=1,"UC",""),IF(M3=1,"BR",""),IF(N3=1,"WF","")))</f>
        <v>UC + WF</v>
      </c>
      <c r="Q3" s="6"/>
    </row>
    <row r="4" spans="1:17" ht="28.8" x14ac:dyDescent="0.3">
      <c r="A4" s="7" t="s">
        <v>28</v>
      </c>
      <c r="B4" s="7" t="s">
        <v>17</v>
      </c>
      <c r="C4" s="7" t="s">
        <v>19</v>
      </c>
      <c r="D4" s="7" t="s">
        <v>29</v>
      </c>
      <c r="E4" s="7" t="s">
        <v>30</v>
      </c>
      <c r="F4" s="7" t="s">
        <v>31</v>
      </c>
      <c r="G4" s="8">
        <v>1</v>
      </c>
      <c r="H4" s="7" t="s">
        <v>32</v>
      </c>
      <c r="I4" s="8">
        <v>1</v>
      </c>
      <c r="J4" s="7" t="s">
        <v>23</v>
      </c>
      <c r="K4" s="8">
        <v>1</v>
      </c>
      <c r="L4" s="8">
        <f t="shared" si="0"/>
        <v>1</v>
      </c>
      <c r="M4" s="8">
        <f t="shared" si="1"/>
        <v>1</v>
      </c>
      <c r="N4" s="8">
        <f t="shared" si="2"/>
        <v>1</v>
      </c>
      <c r="O4" s="8">
        <f t="shared" si="3"/>
        <v>1</v>
      </c>
      <c r="P4" s="7" t="str">
        <f t="shared" si="4"/>
        <v>UC + BR + WF</v>
      </c>
      <c r="Q4" s="6"/>
    </row>
    <row r="5" spans="1:17" ht="28.8" x14ac:dyDescent="0.3">
      <c r="A5" s="7" t="s">
        <v>33</v>
      </c>
      <c r="B5" s="7" t="s">
        <v>17</v>
      </c>
      <c r="C5" s="7" t="s">
        <v>19</v>
      </c>
      <c r="D5" s="7" t="s">
        <v>29</v>
      </c>
      <c r="E5" s="7" t="s">
        <v>34</v>
      </c>
      <c r="F5" s="7" t="s">
        <v>31</v>
      </c>
      <c r="G5" s="8">
        <v>1</v>
      </c>
      <c r="H5" s="7" t="s">
        <v>32</v>
      </c>
      <c r="I5" s="8">
        <v>1</v>
      </c>
      <c r="J5" s="7" t="s">
        <v>23</v>
      </c>
      <c r="K5" s="8">
        <v>1</v>
      </c>
      <c r="L5" s="8">
        <f t="shared" si="0"/>
        <v>1</v>
      </c>
      <c r="M5" s="8">
        <f t="shared" si="1"/>
        <v>1</v>
      </c>
      <c r="N5" s="8">
        <f t="shared" si="2"/>
        <v>1</v>
      </c>
      <c r="O5" s="8">
        <f t="shared" si="3"/>
        <v>1</v>
      </c>
      <c r="P5" s="7" t="str">
        <f t="shared" si="4"/>
        <v>UC + BR + WF</v>
      </c>
      <c r="Q5" s="6"/>
    </row>
    <row r="6" spans="1:17" ht="28.8" x14ac:dyDescent="0.3">
      <c r="A6" s="7" t="s">
        <v>35</v>
      </c>
      <c r="B6" s="7" t="s">
        <v>17</v>
      </c>
      <c r="C6" s="7" t="s">
        <v>19</v>
      </c>
      <c r="D6" s="7" t="s">
        <v>29</v>
      </c>
      <c r="E6" s="7" t="s">
        <v>36</v>
      </c>
      <c r="F6" s="7" t="s">
        <v>37</v>
      </c>
      <c r="G6" s="8">
        <v>3</v>
      </c>
      <c r="H6" s="7" t="s">
        <v>38</v>
      </c>
      <c r="I6" s="8">
        <v>2</v>
      </c>
      <c r="J6" s="7" t="s">
        <v>39</v>
      </c>
      <c r="K6" s="8">
        <v>1</v>
      </c>
      <c r="L6" s="8">
        <f t="shared" si="0"/>
        <v>1</v>
      </c>
      <c r="M6" s="8">
        <f t="shared" si="1"/>
        <v>1</v>
      </c>
      <c r="N6" s="8">
        <f t="shared" si="2"/>
        <v>1</v>
      </c>
      <c r="O6" s="8">
        <f t="shared" si="3"/>
        <v>1</v>
      </c>
      <c r="P6" s="7" t="str">
        <f t="shared" si="4"/>
        <v>UC + BR + WF</v>
      </c>
      <c r="Q6" s="6"/>
    </row>
    <row r="7" spans="1:17" ht="28.8" x14ac:dyDescent="0.3">
      <c r="A7" s="7" t="s">
        <v>40</v>
      </c>
      <c r="B7" s="7" t="s">
        <v>17</v>
      </c>
      <c r="C7" s="7" t="s">
        <v>41</v>
      </c>
      <c r="D7" s="7" t="s">
        <v>25</v>
      </c>
      <c r="E7" s="7" t="s">
        <v>42</v>
      </c>
      <c r="F7" s="7" t="s">
        <v>43</v>
      </c>
      <c r="G7" s="8">
        <v>1</v>
      </c>
      <c r="H7" s="7"/>
      <c r="I7" s="8">
        <v>0</v>
      </c>
      <c r="J7" s="7" t="s">
        <v>23</v>
      </c>
      <c r="K7" s="8">
        <v>1</v>
      </c>
      <c r="L7" s="8">
        <f t="shared" si="0"/>
        <v>1</v>
      </c>
      <c r="M7" s="8">
        <f t="shared" si="1"/>
        <v>0</v>
      </c>
      <c r="N7" s="8">
        <f t="shared" si="2"/>
        <v>1</v>
      </c>
      <c r="O7" s="8">
        <f t="shared" si="3"/>
        <v>1</v>
      </c>
      <c r="P7" s="7" t="str">
        <f t="shared" si="4"/>
        <v>UC + WF</v>
      </c>
      <c r="Q7" s="6"/>
    </row>
    <row r="8" spans="1:17" ht="28.8" x14ac:dyDescent="0.3">
      <c r="A8" s="7" t="s">
        <v>44</v>
      </c>
      <c r="B8" s="7" t="s">
        <v>17</v>
      </c>
      <c r="C8" s="7" t="s">
        <v>19</v>
      </c>
      <c r="D8" s="7" t="s">
        <v>18</v>
      </c>
      <c r="E8" s="7" t="s">
        <v>45</v>
      </c>
      <c r="F8" s="7" t="s">
        <v>46</v>
      </c>
      <c r="G8" s="8">
        <v>1</v>
      </c>
      <c r="H8" s="7" t="s">
        <v>47</v>
      </c>
      <c r="I8" s="8">
        <v>1</v>
      </c>
      <c r="J8" s="7" t="s">
        <v>23</v>
      </c>
      <c r="K8" s="8">
        <v>1</v>
      </c>
      <c r="L8" s="8">
        <f t="shared" si="0"/>
        <v>1</v>
      </c>
      <c r="M8" s="8">
        <f t="shared" si="1"/>
        <v>1</v>
      </c>
      <c r="N8" s="8">
        <f t="shared" si="2"/>
        <v>1</v>
      </c>
      <c r="O8" s="8">
        <f t="shared" si="3"/>
        <v>1</v>
      </c>
      <c r="P8" s="7" t="str">
        <f t="shared" si="4"/>
        <v>UC + BR + WF</v>
      </c>
      <c r="Q8" s="6"/>
    </row>
    <row r="9" spans="1:17" ht="28.8" x14ac:dyDescent="0.3">
      <c r="A9" s="7" t="s">
        <v>48</v>
      </c>
      <c r="B9" s="7" t="s">
        <v>17</v>
      </c>
      <c r="C9" s="7" t="s">
        <v>19</v>
      </c>
      <c r="D9" s="7" t="s">
        <v>18</v>
      </c>
      <c r="E9" s="7" t="s">
        <v>49</v>
      </c>
      <c r="F9" s="7" t="s">
        <v>46</v>
      </c>
      <c r="G9" s="8">
        <v>1</v>
      </c>
      <c r="H9" s="7" t="s">
        <v>47</v>
      </c>
      <c r="I9" s="8">
        <v>1</v>
      </c>
      <c r="J9" s="7" t="s">
        <v>23</v>
      </c>
      <c r="K9" s="8">
        <v>1</v>
      </c>
      <c r="L9" s="8">
        <f t="shared" si="0"/>
        <v>1</v>
      </c>
      <c r="M9" s="8">
        <f t="shared" si="1"/>
        <v>1</v>
      </c>
      <c r="N9" s="8">
        <f t="shared" si="2"/>
        <v>1</v>
      </c>
      <c r="O9" s="8">
        <f t="shared" si="3"/>
        <v>1</v>
      </c>
      <c r="P9" s="7" t="str">
        <f t="shared" si="4"/>
        <v>UC + BR + WF</v>
      </c>
      <c r="Q9" s="6"/>
    </row>
    <row r="10" spans="1:17" x14ac:dyDescent="0.3">
      <c r="A10" s="7" t="s">
        <v>50</v>
      </c>
      <c r="B10" s="7" t="s">
        <v>51</v>
      </c>
      <c r="C10" s="7" t="s">
        <v>19</v>
      </c>
      <c r="D10" s="7" t="s">
        <v>52</v>
      </c>
      <c r="E10" s="7" t="s">
        <v>53</v>
      </c>
      <c r="F10" s="7" t="s">
        <v>54</v>
      </c>
      <c r="G10" s="8">
        <v>1</v>
      </c>
      <c r="H10" s="7"/>
      <c r="I10" s="8">
        <v>0</v>
      </c>
      <c r="J10" s="7" t="s">
        <v>55</v>
      </c>
      <c r="K10" s="8">
        <v>1</v>
      </c>
      <c r="L10" s="8">
        <f t="shared" si="0"/>
        <v>1</v>
      </c>
      <c r="M10" s="8">
        <f t="shared" si="1"/>
        <v>0</v>
      </c>
      <c r="N10" s="8">
        <f t="shared" si="2"/>
        <v>1</v>
      </c>
      <c r="O10" s="8">
        <f t="shared" si="3"/>
        <v>1</v>
      </c>
      <c r="P10" s="7" t="str">
        <f t="shared" si="4"/>
        <v>UC + WF</v>
      </c>
      <c r="Q10" s="6"/>
    </row>
    <row r="11" spans="1:17" x14ac:dyDescent="0.3">
      <c r="A11" s="7" t="s">
        <v>56</v>
      </c>
      <c r="B11" s="7" t="s">
        <v>51</v>
      </c>
      <c r="C11" s="7" t="s">
        <v>19</v>
      </c>
      <c r="D11" s="7" t="s">
        <v>52</v>
      </c>
      <c r="E11" s="7" t="s">
        <v>57</v>
      </c>
      <c r="F11" s="7" t="s">
        <v>54</v>
      </c>
      <c r="G11" s="8">
        <v>1</v>
      </c>
      <c r="H11" s="7"/>
      <c r="I11" s="8">
        <v>0</v>
      </c>
      <c r="J11" s="7" t="s">
        <v>55</v>
      </c>
      <c r="K11" s="8">
        <v>1</v>
      </c>
      <c r="L11" s="8">
        <f t="shared" si="0"/>
        <v>1</v>
      </c>
      <c r="M11" s="8">
        <f t="shared" si="1"/>
        <v>0</v>
      </c>
      <c r="N11" s="8">
        <f t="shared" si="2"/>
        <v>1</v>
      </c>
      <c r="O11" s="8">
        <f t="shared" si="3"/>
        <v>1</v>
      </c>
      <c r="P11" s="7" t="str">
        <f t="shared" si="4"/>
        <v>UC + WF</v>
      </c>
      <c r="Q11" s="6"/>
    </row>
    <row r="12" spans="1:17" ht="28.8" x14ac:dyDescent="0.3">
      <c r="A12" s="7" t="s">
        <v>58</v>
      </c>
      <c r="B12" s="7" t="s">
        <v>51</v>
      </c>
      <c r="C12" s="7" t="s">
        <v>26</v>
      </c>
      <c r="D12" s="7" t="s">
        <v>25</v>
      </c>
      <c r="E12" s="7" t="s">
        <v>59</v>
      </c>
      <c r="F12" s="7" t="s">
        <v>60</v>
      </c>
      <c r="G12" s="8">
        <v>2</v>
      </c>
      <c r="H12" s="7" t="s">
        <v>61</v>
      </c>
      <c r="I12" s="8">
        <v>2</v>
      </c>
      <c r="J12" s="7" t="s">
        <v>62</v>
      </c>
      <c r="K12" s="8">
        <v>2</v>
      </c>
      <c r="L12" s="8">
        <f t="shared" si="0"/>
        <v>1</v>
      </c>
      <c r="M12" s="8">
        <f t="shared" si="1"/>
        <v>1</v>
      </c>
      <c r="N12" s="8">
        <f t="shared" si="2"/>
        <v>1</v>
      </c>
      <c r="O12" s="8">
        <f t="shared" si="3"/>
        <v>1</v>
      </c>
      <c r="P12" s="7" t="str">
        <f t="shared" si="4"/>
        <v>UC + BR + WF</v>
      </c>
      <c r="Q12" s="6"/>
    </row>
    <row r="13" spans="1:17" ht="28.8" x14ac:dyDescent="0.3">
      <c r="A13" s="7" t="s">
        <v>63</v>
      </c>
      <c r="B13" s="7" t="s">
        <v>51</v>
      </c>
      <c r="C13" s="7" t="s">
        <v>19</v>
      </c>
      <c r="D13" s="7" t="s">
        <v>52</v>
      </c>
      <c r="E13" s="7" t="s">
        <v>64</v>
      </c>
      <c r="F13" s="7" t="s">
        <v>65</v>
      </c>
      <c r="G13" s="8">
        <v>2</v>
      </c>
      <c r="H13" s="7" t="s">
        <v>66</v>
      </c>
      <c r="I13" s="8">
        <v>2</v>
      </c>
      <c r="J13" s="7" t="s">
        <v>55</v>
      </c>
      <c r="K13" s="8">
        <v>1</v>
      </c>
      <c r="L13" s="8">
        <f t="shared" si="0"/>
        <v>1</v>
      </c>
      <c r="M13" s="8">
        <f t="shared" si="1"/>
        <v>1</v>
      </c>
      <c r="N13" s="8">
        <f t="shared" si="2"/>
        <v>1</v>
      </c>
      <c r="O13" s="8">
        <f t="shared" si="3"/>
        <v>1</v>
      </c>
      <c r="P13" s="7" t="str">
        <f t="shared" si="4"/>
        <v>UC + BR + WF</v>
      </c>
      <c r="Q13" s="6"/>
    </row>
    <row r="14" spans="1:17" ht="28.8" x14ac:dyDescent="0.3">
      <c r="A14" s="7" t="s">
        <v>67</v>
      </c>
      <c r="B14" s="7" t="s">
        <v>51</v>
      </c>
      <c r="C14" s="7" t="s">
        <v>19</v>
      </c>
      <c r="D14" s="7" t="s">
        <v>68</v>
      </c>
      <c r="E14" s="7" t="s">
        <v>69</v>
      </c>
      <c r="F14" s="7" t="s">
        <v>70</v>
      </c>
      <c r="G14" s="8">
        <v>1</v>
      </c>
      <c r="H14" s="7" t="s">
        <v>71</v>
      </c>
      <c r="I14" s="8">
        <v>1</v>
      </c>
      <c r="J14" s="7" t="s">
        <v>55</v>
      </c>
      <c r="K14" s="8">
        <v>1</v>
      </c>
      <c r="L14" s="8">
        <f t="shared" si="0"/>
        <v>1</v>
      </c>
      <c r="M14" s="8">
        <f t="shared" si="1"/>
        <v>1</v>
      </c>
      <c r="N14" s="8">
        <f t="shared" si="2"/>
        <v>1</v>
      </c>
      <c r="O14" s="8">
        <f t="shared" si="3"/>
        <v>1</v>
      </c>
      <c r="P14" s="7" t="str">
        <f t="shared" si="4"/>
        <v>UC + BR + WF</v>
      </c>
      <c r="Q14" s="6"/>
    </row>
    <row r="15" spans="1:17" x14ac:dyDescent="0.3">
      <c r="A15" s="7" t="s">
        <v>72</v>
      </c>
      <c r="B15" s="7" t="s">
        <v>51</v>
      </c>
      <c r="C15" s="7" t="s">
        <v>41</v>
      </c>
      <c r="D15" s="7" t="s">
        <v>25</v>
      </c>
      <c r="E15" s="7" t="s">
        <v>73</v>
      </c>
      <c r="F15" s="7"/>
      <c r="G15" s="8">
        <v>0</v>
      </c>
      <c r="H15" s="7" t="s">
        <v>74</v>
      </c>
      <c r="I15" s="8">
        <v>1</v>
      </c>
      <c r="J15" s="7" t="s">
        <v>23</v>
      </c>
      <c r="K15" s="8">
        <v>1</v>
      </c>
      <c r="L15" s="8">
        <f t="shared" si="0"/>
        <v>0</v>
      </c>
      <c r="M15" s="8">
        <f t="shared" si="1"/>
        <v>1</v>
      </c>
      <c r="N15" s="8">
        <f t="shared" si="2"/>
        <v>1</v>
      </c>
      <c r="O15" s="8">
        <f t="shared" si="3"/>
        <v>1</v>
      </c>
      <c r="P15" s="7" t="str">
        <f t="shared" si="4"/>
        <v>BR + WF</v>
      </c>
      <c r="Q15" s="6" t="s">
        <v>351</v>
      </c>
    </row>
    <row r="16" spans="1:17" ht="28.8" x14ac:dyDescent="0.3">
      <c r="A16" s="7" t="s">
        <v>75</v>
      </c>
      <c r="B16" s="7" t="s">
        <v>51</v>
      </c>
      <c r="C16" s="7" t="s">
        <v>26</v>
      </c>
      <c r="D16" s="7" t="s">
        <v>25</v>
      </c>
      <c r="E16" s="7" t="s">
        <v>76</v>
      </c>
      <c r="F16" s="7" t="s">
        <v>60</v>
      </c>
      <c r="G16" s="8">
        <v>2</v>
      </c>
      <c r="H16" s="7" t="s">
        <v>61</v>
      </c>
      <c r="I16" s="8">
        <v>2</v>
      </c>
      <c r="J16" s="7" t="s">
        <v>62</v>
      </c>
      <c r="K16" s="8">
        <v>2</v>
      </c>
      <c r="L16" s="8">
        <f t="shared" si="0"/>
        <v>1</v>
      </c>
      <c r="M16" s="8">
        <f t="shared" si="1"/>
        <v>1</v>
      </c>
      <c r="N16" s="8">
        <f t="shared" si="2"/>
        <v>1</v>
      </c>
      <c r="O16" s="8">
        <f t="shared" si="3"/>
        <v>1</v>
      </c>
      <c r="P16" s="7" t="str">
        <f t="shared" si="4"/>
        <v>UC + BR + WF</v>
      </c>
      <c r="Q16" s="6"/>
    </row>
    <row r="17" spans="1:17" s="12" customFormat="1" ht="28.8" x14ac:dyDescent="0.3">
      <c r="A17" s="9" t="s">
        <v>77</v>
      </c>
      <c r="B17" s="9" t="s">
        <v>78</v>
      </c>
      <c r="C17" s="9" t="s">
        <v>19</v>
      </c>
      <c r="D17" s="9" t="s">
        <v>52</v>
      </c>
      <c r="E17" s="9" t="s">
        <v>79</v>
      </c>
      <c r="F17" s="9" t="s">
        <v>80</v>
      </c>
      <c r="G17" s="10">
        <v>1</v>
      </c>
      <c r="H17" s="9"/>
      <c r="I17" s="10">
        <v>0</v>
      </c>
      <c r="J17" s="9"/>
      <c r="K17" s="10">
        <v>0</v>
      </c>
      <c r="L17" s="10">
        <f t="shared" si="0"/>
        <v>1</v>
      </c>
      <c r="M17" s="10">
        <f t="shared" si="1"/>
        <v>0</v>
      </c>
      <c r="N17" s="10">
        <f t="shared" si="2"/>
        <v>0</v>
      </c>
      <c r="O17" s="10">
        <f t="shared" si="3"/>
        <v>1</v>
      </c>
      <c r="P17" s="7" t="str">
        <f t="shared" si="4"/>
        <v>UC</v>
      </c>
      <c r="Q17" s="11"/>
    </row>
    <row r="18" spans="1:17" s="12" customFormat="1" ht="28.8" x14ac:dyDescent="0.3">
      <c r="A18" s="9" t="s">
        <v>81</v>
      </c>
      <c r="B18" s="9" t="s">
        <v>78</v>
      </c>
      <c r="C18" s="9" t="s">
        <v>19</v>
      </c>
      <c r="D18" s="9" t="s">
        <v>52</v>
      </c>
      <c r="E18" s="9" t="s">
        <v>82</v>
      </c>
      <c r="F18" s="9" t="s">
        <v>80</v>
      </c>
      <c r="G18" s="10">
        <v>1</v>
      </c>
      <c r="H18" s="9"/>
      <c r="I18" s="10">
        <v>0</v>
      </c>
      <c r="J18" s="9"/>
      <c r="K18" s="10">
        <v>0</v>
      </c>
      <c r="L18" s="10">
        <f t="shared" si="0"/>
        <v>1</v>
      </c>
      <c r="M18" s="10">
        <f t="shared" si="1"/>
        <v>0</v>
      </c>
      <c r="N18" s="10">
        <f t="shared" si="2"/>
        <v>0</v>
      </c>
      <c r="O18" s="10">
        <f t="shared" si="3"/>
        <v>1</v>
      </c>
      <c r="P18" s="7" t="str">
        <f t="shared" si="4"/>
        <v>UC</v>
      </c>
      <c r="Q18" s="11" t="s">
        <v>352</v>
      </c>
    </row>
    <row r="19" spans="1:17" ht="28.8" x14ac:dyDescent="0.3">
      <c r="A19" s="7" t="s">
        <v>83</v>
      </c>
      <c r="B19" s="7" t="s">
        <v>78</v>
      </c>
      <c r="C19" s="7" t="s">
        <v>26</v>
      </c>
      <c r="D19" s="7" t="s">
        <v>25</v>
      </c>
      <c r="E19" s="7" t="s">
        <v>84</v>
      </c>
      <c r="F19" s="7" t="s">
        <v>85</v>
      </c>
      <c r="G19" s="8">
        <v>1</v>
      </c>
      <c r="H19" s="7" t="s">
        <v>86</v>
      </c>
      <c r="I19" s="8">
        <v>1</v>
      </c>
      <c r="J19" s="7" t="s">
        <v>87</v>
      </c>
      <c r="K19" s="8">
        <v>1</v>
      </c>
      <c r="L19" s="8">
        <f t="shared" si="0"/>
        <v>1</v>
      </c>
      <c r="M19" s="8">
        <f t="shared" si="1"/>
        <v>1</v>
      </c>
      <c r="N19" s="8">
        <f t="shared" si="2"/>
        <v>1</v>
      </c>
      <c r="O19" s="8">
        <f t="shared" si="3"/>
        <v>1</v>
      </c>
      <c r="P19" s="7" t="str">
        <f t="shared" si="4"/>
        <v>UC + BR + WF</v>
      </c>
      <c r="Q19" s="6"/>
    </row>
    <row r="20" spans="1:17" s="12" customFormat="1" ht="28.8" x14ac:dyDescent="0.3">
      <c r="A20" s="9" t="s">
        <v>88</v>
      </c>
      <c r="B20" s="9" t="s">
        <v>78</v>
      </c>
      <c r="C20" s="9" t="s">
        <v>26</v>
      </c>
      <c r="D20" s="9" t="s">
        <v>25</v>
      </c>
      <c r="E20" s="9" t="s">
        <v>89</v>
      </c>
      <c r="F20" s="9" t="s">
        <v>80</v>
      </c>
      <c r="G20" s="10">
        <v>1</v>
      </c>
      <c r="H20" s="9"/>
      <c r="I20" s="10">
        <v>0</v>
      </c>
      <c r="J20" s="9"/>
      <c r="K20" s="10">
        <v>0</v>
      </c>
      <c r="L20" s="10">
        <f t="shared" si="0"/>
        <v>1</v>
      </c>
      <c r="M20" s="10">
        <f t="shared" si="1"/>
        <v>0</v>
      </c>
      <c r="N20" s="10">
        <f t="shared" si="2"/>
        <v>0</v>
      </c>
      <c r="O20" s="10">
        <f t="shared" si="3"/>
        <v>1</v>
      </c>
      <c r="P20" s="7" t="str">
        <f t="shared" si="4"/>
        <v>UC</v>
      </c>
      <c r="Q20" s="11"/>
    </row>
    <row r="21" spans="1:17" s="12" customFormat="1" ht="28.8" x14ac:dyDescent="0.3">
      <c r="A21" s="9" t="s">
        <v>90</v>
      </c>
      <c r="B21" s="9" t="s">
        <v>78</v>
      </c>
      <c r="C21" s="9" t="s">
        <v>19</v>
      </c>
      <c r="D21" s="9" t="s">
        <v>68</v>
      </c>
      <c r="E21" s="9" t="s">
        <v>91</v>
      </c>
      <c r="F21" s="9" t="s">
        <v>80</v>
      </c>
      <c r="G21" s="10">
        <v>1</v>
      </c>
      <c r="H21" s="9"/>
      <c r="I21" s="10">
        <v>0</v>
      </c>
      <c r="J21" s="9"/>
      <c r="K21" s="10">
        <v>0</v>
      </c>
      <c r="L21" s="10">
        <f t="shared" si="0"/>
        <v>1</v>
      </c>
      <c r="M21" s="10">
        <f t="shared" si="1"/>
        <v>0</v>
      </c>
      <c r="N21" s="10">
        <f t="shared" si="2"/>
        <v>0</v>
      </c>
      <c r="O21" s="10">
        <f t="shared" si="3"/>
        <v>1</v>
      </c>
      <c r="P21" s="7" t="str">
        <f t="shared" si="4"/>
        <v>UC</v>
      </c>
      <c r="Q21" s="11"/>
    </row>
    <row r="22" spans="1:17" s="12" customFormat="1" ht="28.8" x14ac:dyDescent="0.3">
      <c r="A22" s="9" t="s">
        <v>92</v>
      </c>
      <c r="B22" s="9" t="s">
        <v>78</v>
      </c>
      <c r="C22" s="9" t="s">
        <v>41</v>
      </c>
      <c r="D22" s="9" t="s">
        <v>25</v>
      </c>
      <c r="E22" s="9" t="s">
        <v>93</v>
      </c>
      <c r="F22" s="9" t="s">
        <v>80</v>
      </c>
      <c r="G22" s="10">
        <v>1</v>
      </c>
      <c r="H22" s="9"/>
      <c r="I22" s="10">
        <v>0</v>
      </c>
      <c r="J22" s="9"/>
      <c r="K22" s="10">
        <v>0</v>
      </c>
      <c r="L22" s="10">
        <f t="shared" si="0"/>
        <v>1</v>
      </c>
      <c r="M22" s="10">
        <f t="shared" si="1"/>
        <v>0</v>
      </c>
      <c r="N22" s="10">
        <f t="shared" si="2"/>
        <v>0</v>
      </c>
      <c r="O22" s="10">
        <f t="shared" si="3"/>
        <v>1</v>
      </c>
      <c r="P22" s="7" t="str">
        <f t="shared" si="4"/>
        <v>UC</v>
      </c>
      <c r="Q22" s="11"/>
    </row>
    <row r="23" spans="1:17" ht="28.8" x14ac:dyDescent="0.3">
      <c r="A23" s="7" t="s">
        <v>94</v>
      </c>
      <c r="B23" s="7" t="s">
        <v>95</v>
      </c>
      <c r="C23" s="7" t="s">
        <v>19</v>
      </c>
      <c r="D23" s="7" t="s">
        <v>18</v>
      </c>
      <c r="E23" s="7" t="s">
        <v>96</v>
      </c>
      <c r="F23" s="7" t="s">
        <v>97</v>
      </c>
      <c r="G23" s="8">
        <v>1</v>
      </c>
      <c r="H23" s="7" t="s">
        <v>98</v>
      </c>
      <c r="I23" s="8">
        <v>4</v>
      </c>
      <c r="J23" s="7" t="s">
        <v>87</v>
      </c>
      <c r="K23" s="8">
        <v>1</v>
      </c>
      <c r="L23" s="8">
        <f t="shared" si="0"/>
        <v>1</v>
      </c>
      <c r="M23" s="8">
        <f t="shared" si="1"/>
        <v>1</v>
      </c>
      <c r="N23" s="8">
        <f t="shared" si="2"/>
        <v>1</v>
      </c>
      <c r="O23" s="8">
        <f t="shared" si="3"/>
        <v>1</v>
      </c>
      <c r="P23" s="7" t="str">
        <f t="shared" si="4"/>
        <v>UC + BR + WF</v>
      </c>
      <c r="Q23" s="6"/>
    </row>
    <row r="24" spans="1:17" x14ac:dyDescent="0.3">
      <c r="A24" s="7" t="s">
        <v>99</v>
      </c>
      <c r="B24" s="7" t="s">
        <v>95</v>
      </c>
      <c r="C24" s="7" t="s">
        <v>19</v>
      </c>
      <c r="D24" s="7" t="s">
        <v>52</v>
      </c>
      <c r="E24" s="7" t="s">
        <v>100</v>
      </c>
      <c r="F24" s="7" t="s">
        <v>101</v>
      </c>
      <c r="G24" s="8">
        <v>1</v>
      </c>
      <c r="H24" s="7" t="s">
        <v>102</v>
      </c>
      <c r="I24" s="8">
        <v>1</v>
      </c>
      <c r="J24" s="7" t="s">
        <v>87</v>
      </c>
      <c r="K24" s="8">
        <v>1</v>
      </c>
      <c r="L24" s="8">
        <f t="shared" si="0"/>
        <v>1</v>
      </c>
      <c r="M24" s="8">
        <f t="shared" si="1"/>
        <v>1</v>
      </c>
      <c r="N24" s="8">
        <f t="shared" si="2"/>
        <v>1</v>
      </c>
      <c r="O24" s="8">
        <f t="shared" si="3"/>
        <v>1</v>
      </c>
      <c r="P24" s="7" t="str">
        <f t="shared" si="4"/>
        <v>UC + BR + WF</v>
      </c>
      <c r="Q24" s="6"/>
    </row>
    <row r="25" spans="1:17" x14ac:dyDescent="0.3">
      <c r="A25" s="7" t="s">
        <v>103</v>
      </c>
      <c r="B25" s="7" t="s">
        <v>95</v>
      </c>
      <c r="C25" s="7" t="s">
        <v>19</v>
      </c>
      <c r="D25" s="7" t="s">
        <v>52</v>
      </c>
      <c r="E25" s="7" t="s">
        <v>104</v>
      </c>
      <c r="F25" s="7" t="s">
        <v>101</v>
      </c>
      <c r="G25" s="8">
        <v>1</v>
      </c>
      <c r="H25" s="7" t="s">
        <v>102</v>
      </c>
      <c r="I25" s="8">
        <v>1</v>
      </c>
      <c r="J25" s="7" t="s">
        <v>87</v>
      </c>
      <c r="K25" s="8">
        <v>1</v>
      </c>
      <c r="L25" s="8">
        <f t="shared" si="0"/>
        <v>1</v>
      </c>
      <c r="M25" s="8">
        <f t="shared" si="1"/>
        <v>1</v>
      </c>
      <c r="N25" s="8">
        <f t="shared" si="2"/>
        <v>1</v>
      </c>
      <c r="O25" s="8">
        <f t="shared" si="3"/>
        <v>1</v>
      </c>
      <c r="P25" s="7" t="str">
        <f t="shared" si="4"/>
        <v>UC + BR + WF</v>
      </c>
      <c r="Q25" s="6"/>
    </row>
    <row r="26" spans="1:17" x14ac:dyDescent="0.3">
      <c r="A26" s="7" t="s">
        <v>105</v>
      </c>
      <c r="B26" s="7" t="s">
        <v>95</v>
      </c>
      <c r="C26" s="7" t="s">
        <v>26</v>
      </c>
      <c r="D26" s="7" t="s">
        <v>25</v>
      </c>
      <c r="E26" s="7" t="s">
        <v>106</v>
      </c>
      <c r="F26" s="7" t="s">
        <v>107</v>
      </c>
      <c r="G26" s="8">
        <v>2</v>
      </c>
      <c r="H26" s="7"/>
      <c r="I26" s="8">
        <v>0</v>
      </c>
      <c r="J26" s="7" t="s">
        <v>87</v>
      </c>
      <c r="K26" s="8">
        <v>1</v>
      </c>
      <c r="L26" s="8">
        <f t="shared" si="0"/>
        <v>1</v>
      </c>
      <c r="M26" s="8">
        <f t="shared" si="1"/>
        <v>0</v>
      </c>
      <c r="N26" s="8">
        <f t="shared" si="2"/>
        <v>1</v>
      </c>
      <c r="O26" s="8">
        <f t="shared" si="3"/>
        <v>1</v>
      </c>
      <c r="P26" s="7" t="str">
        <f t="shared" si="4"/>
        <v>UC + WF</v>
      </c>
      <c r="Q26" s="6"/>
    </row>
    <row r="27" spans="1:17" x14ac:dyDescent="0.3">
      <c r="A27" s="7" t="s">
        <v>108</v>
      </c>
      <c r="B27" s="7" t="s">
        <v>95</v>
      </c>
      <c r="C27" s="7" t="s">
        <v>26</v>
      </c>
      <c r="D27" s="7" t="s">
        <v>25</v>
      </c>
      <c r="E27" s="7" t="s">
        <v>109</v>
      </c>
      <c r="F27" s="7" t="s">
        <v>85</v>
      </c>
      <c r="G27" s="8">
        <v>1</v>
      </c>
      <c r="H27" s="7" t="s">
        <v>86</v>
      </c>
      <c r="I27" s="8">
        <v>1</v>
      </c>
      <c r="J27" s="7" t="s">
        <v>87</v>
      </c>
      <c r="K27" s="8">
        <v>1</v>
      </c>
      <c r="L27" s="8">
        <f t="shared" si="0"/>
        <v>1</v>
      </c>
      <c r="M27" s="8">
        <f t="shared" si="1"/>
        <v>1</v>
      </c>
      <c r="N27" s="8">
        <f t="shared" si="2"/>
        <v>1</v>
      </c>
      <c r="O27" s="8">
        <f t="shared" si="3"/>
        <v>1</v>
      </c>
      <c r="P27" s="7" t="str">
        <f t="shared" si="4"/>
        <v>UC + BR + WF</v>
      </c>
      <c r="Q27" s="6"/>
    </row>
    <row r="28" spans="1:17" ht="28.8" x14ac:dyDescent="0.3">
      <c r="A28" s="7" t="s">
        <v>110</v>
      </c>
      <c r="B28" s="7" t="s">
        <v>95</v>
      </c>
      <c r="C28" s="7" t="s">
        <v>26</v>
      </c>
      <c r="D28" s="7" t="s">
        <v>25</v>
      </c>
      <c r="E28" s="7" t="s">
        <v>111</v>
      </c>
      <c r="F28" s="7" t="s">
        <v>101</v>
      </c>
      <c r="G28" s="8">
        <v>1</v>
      </c>
      <c r="H28" s="7"/>
      <c r="I28" s="8">
        <v>0</v>
      </c>
      <c r="J28" s="7" t="s">
        <v>87</v>
      </c>
      <c r="K28" s="8">
        <v>1</v>
      </c>
      <c r="L28" s="8">
        <f t="shared" si="0"/>
        <v>1</v>
      </c>
      <c r="M28" s="8">
        <f t="shared" si="1"/>
        <v>0</v>
      </c>
      <c r="N28" s="8">
        <f t="shared" si="2"/>
        <v>1</v>
      </c>
      <c r="O28" s="8">
        <f t="shared" si="3"/>
        <v>1</v>
      </c>
      <c r="P28" s="7" t="str">
        <f t="shared" si="4"/>
        <v>UC + WF</v>
      </c>
      <c r="Q28" s="6"/>
    </row>
    <row r="29" spans="1:17" x14ac:dyDescent="0.3">
      <c r="A29" s="7" t="s">
        <v>112</v>
      </c>
      <c r="B29" s="7" t="s">
        <v>95</v>
      </c>
      <c r="C29" s="7" t="s">
        <v>41</v>
      </c>
      <c r="D29" s="7" t="s">
        <v>25</v>
      </c>
      <c r="E29" s="7" t="s">
        <v>113</v>
      </c>
      <c r="F29" s="7" t="s">
        <v>114</v>
      </c>
      <c r="G29" s="8">
        <v>1</v>
      </c>
      <c r="H29" s="7"/>
      <c r="I29" s="8">
        <v>0</v>
      </c>
      <c r="J29" s="7" t="s">
        <v>87</v>
      </c>
      <c r="K29" s="8">
        <v>1</v>
      </c>
      <c r="L29" s="8">
        <f t="shared" si="0"/>
        <v>1</v>
      </c>
      <c r="M29" s="8">
        <f t="shared" si="1"/>
        <v>0</v>
      </c>
      <c r="N29" s="8">
        <f t="shared" si="2"/>
        <v>1</v>
      </c>
      <c r="O29" s="8">
        <f t="shared" si="3"/>
        <v>1</v>
      </c>
      <c r="P29" s="7" t="str">
        <f t="shared" si="4"/>
        <v>UC + WF</v>
      </c>
      <c r="Q29" s="6"/>
    </row>
    <row r="30" spans="1:17" ht="28.8" x14ac:dyDescent="0.3">
      <c r="A30" s="7" t="s">
        <v>115</v>
      </c>
      <c r="B30" s="7" t="s">
        <v>116</v>
      </c>
      <c r="C30" s="7" t="s">
        <v>19</v>
      </c>
      <c r="D30" s="7" t="s">
        <v>18</v>
      </c>
      <c r="E30" s="7" t="s">
        <v>117</v>
      </c>
      <c r="F30" s="7" t="s">
        <v>118</v>
      </c>
      <c r="G30" s="8">
        <v>1</v>
      </c>
      <c r="H30" s="7" t="s">
        <v>119</v>
      </c>
      <c r="I30" s="8">
        <v>2</v>
      </c>
      <c r="J30" s="7" t="s">
        <v>120</v>
      </c>
      <c r="K30" s="8">
        <v>1</v>
      </c>
      <c r="L30" s="8">
        <f t="shared" si="0"/>
        <v>1</v>
      </c>
      <c r="M30" s="8">
        <f t="shared" si="1"/>
        <v>1</v>
      </c>
      <c r="N30" s="8">
        <f t="shared" si="2"/>
        <v>1</v>
      </c>
      <c r="O30" s="8">
        <f t="shared" si="3"/>
        <v>1</v>
      </c>
      <c r="P30" s="7" t="str">
        <f t="shared" si="4"/>
        <v>UC + BR + WF</v>
      </c>
      <c r="Q30" s="6"/>
    </row>
    <row r="31" spans="1:17" ht="28.8" x14ac:dyDescent="0.3">
      <c r="A31" s="7" t="s">
        <v>121</v>
      </c>
      <c r="B31" s="7" t="s">
        <v>116</v>
      </c>
      <c r="C31" s="7" t="s">
        <v>26</v>
      </c>
      <c r="D31" s="7" t="s">
        <v>25</v>
      </c>
      <c r="E31" s="7" t="s">
        <v>122</v>
      </c>
      <c r="F31" s="7" t="s">
        <v>118</v>
      </c>
      <c r="G31" s="8">
        <v>1</v>
      </c>
      <c r="H31" s="7" t="s">
        <v>123</v>
      </c>
      <c r="I31" s="8">
        <v>1</v>
      </c>
      <c r="J31" s="7" t="s">
        <v>120</v>
      </c>
      <c r="K31" s="8">
        <v>1</v>
      </c>
      <c r="L31" s="8">
        <f t="shared" si="0"/>
        <v>1</v>
      </c>
      <c r="M31" s="8">
        <f t="shared" si="1"/>
        <v>1</v>
      </c>
      <c r="N31" s="8">
        <f t="shared" si="2"/>
        <v>1</v>
      </c>
      <c r="O31" s="8">
        <f t="shared" si="3"/>
        <v>1</v>
      </c>
      <c r="P31" s="7" t="str">
        <f t="shared" si="4"/>
        <v>UC + BR + WF</v>
      </c>
      <c r="Q31" s="7" t="s">
        <v>353</v>
      </c>
    </row>
    <row r="32" spans="1:17" x14ac:dyDescent="0.3">
      <c r="A32" s="7" t="s">
        <v>124</v>
      </c>
      <c r="B32" s="7" t="s">
        <v>116</v>
      </c>
      <c r="C32" s="7" t="s">
        <v>19</v>
      </c>
      <c r="D32" s="7" t="s">
        <v>52</v>
      </c>
      <c r="E32" s="7" t="s">
        <v>125</v>
      </c>
      <c r="F32" s="7" t="s">
        <v>126</v>
      </c>
      <c r="G32" s="8">
        <v>1</v>
      </c>
      <c r="H32" s="7" t="s">
        <v>123</v>
      </c>
      <c r="I32" s="8">
        <v>1</v>
      </c>
      <c r="J32" s="7" t="s">
        <v>120</v>
      </c>
      <c r="K32" s="8">
        <v>1</v>
      </c>
      <c r="L32" s="8">
        <f t="shared" si="0"/>
        <v>1</v>
      </c>
      <c r="M32" s="8">
        <f t="shared" si="1"/>
        <v>1</v>
      </c>
      <c r="N32" s="8">
        <f t="shared" si="2"/>
        <v>1</v>
      </c>
      <c r="O32" s="8">
        <f t="shared" si="3"/>
        <v>1</v>
      </c>
      <c r="P32" s="7" t="str">
        <f t="shared" si="4"/>
        <v>UC + BR + WF</v>
      </c>
      <c r="Q32" s="6"/>
    </row>
    <row r="33" spans="1:17" x14ac:dyDescent="0.3">
      <c r="A33" s="7" t="s">
        <v>127</v>
      </c>
      <c r="B33" s="7" t="s">
        <v>116</v>
      </c>
      <c r="C33" s="7" t="s">
        <v>19</v>
      </c>
      <c r="D33" s="7" t="s">
        <v>52</v>
      </c>
      <c r="E33" s="7" t="s">
        <v>128</v>
      </c>
      <c r="F33" s="7" t="s">
        <v>126</v>
      </c>
      <c r="G33" s="8">
        <v>1</v>
      </c>
      <c r="H33" s="7" t="s">
        <v>129</v>
      </c>
      <c r="I33" s="8">
        <v>1</v>
      </c>
      <c r="J33" s="7" t="s">
        <v>120</v>
      </c>
      <c r="K33" s="8">
        <v>1</v>
      </c>
      <c r="L33" s="8">
        <f t="shared" si="0"/>
        <v>1</v>
      </c>
      <c r="M33" s="8">
        <f t="shared" si="1"/>
        <v>1</v>
      </c>
      <c r="N33" s="8">
        <f t="shared" si="2"/>
        <v>1</v>
      </c>
      <c r="O33" s="8">
        <f t="shared" si="3"/>
        <v>1</v>
      </c>
      <c r="P33" s="7" t="str">
        <f t="shared" si="4"/>
        <v>UC + BR + WF</v>
      </c>
      <c r="Q33" s="6"/>
    </row>
    <row r="34" spans="1:17" x14ac:dyDescent="0.3">
      <c r="A34" s="7" t="s">
        <v>130</v>
      </c>
      <c r="B34" s="7" t="s">
        <v>116</v>
      </c>
      <c r="C34" s="7" t="s">
        <v>19</v>
      </c>
      <c r="D34" s="7" t="s">
        <v>52</v>
      </c>
      <c r="E34" s="7" t="s">
        <v>131</v>
      </c>
      <c r="F34" s="7" t="s">
        <v>126</v>
      </c>
      <c r="G34" s="8">
        <v>1</v>
      </c>
      <c r="H34" s="7" t="s">
        <v>129</v>
      </c>
      <c r="I34" s="8">
        <v>1</v>
      </c>
      <c r="J34" s="7" t="s">
        <v>120</v>
      </c>
      <c r="K34" s="8">
        <v>1</v>
      </c>
      <c r="L34" s="8">
        <f t="shared" ref="L34:L65" si="5">IF(G34&gt;0,1,0)</f>
        <v>1</v>
      </c>
      <c r="M34" s="8">
        <f t="shared" ref="M34:M65" si="6">IF(I34&gt;0,1,0)</f>
        <v>1</v>
      </c>
      <c r="N34" s="8">
        <f t="shared" ref="N34:N65" si="7">IF(K34&gt;0,1,0)</f>
        <v>1</v>
      </c>
      <c r="O34" s="8">
        <f t="shared" ref="O34:O65" si="8">IF(OR(L34=1,M34=1,N34=1),1,0)</f>
        <v>1</v>
      </c>
      <c r="P34" s="7" t="str">
        <f t="shared" si="4"/>
        <v>UC + BR + WF</v>
      </c>
      <c r="Q34" s="6"/>
    </row>
    <row r="35" spans="1:17" x14ac:dyDescent="0.3">
      <c r="A35" s="7" t="s">
        <v>132</v>
      </c>
      <c r="B35" s="7" t="s">
        <v>116</v>
      </c>
      <c r="C35" s="7" t="s">
        <v>19</v>
      </c>
      <c r="D35" s="7" t="s">
        <v>68</v>
      </c>
      <c r="E35" s="7" t="s">
        <v>133</v>
      </c>
      <c r="F35" s="7" t="s">
        <v>134</v>
      </c>
      <c r="G35" s="8">
        <v>1</v>
      </c>
      <c r="H35" s="7" t="s">
        <v>135</v>
      </c>
      <c r="I35" s="8">
        <v>2</v>
      </c>
      <c r="J35" s="7" t="s">
        <v>120</v>
      </c>
      <c r="K35" s="8">
        <v>1</v>
      </c>
      <c r="L35" s="8">
        <f t="shared" si="5"/>
        <v>1</v>
      </c>
      <c r="M35" s="8">
        <f t="shared" si="6"/>
        <v>1</v>
      </c>
      <c r="N35" s="8">
        <f t="shared" si="7"/>
        <v>1</v>
      </c>
      <c r="O35" s="8">
        <f t="shared" si="8"/>
        <v>1</v>
      </c>
      <c r="P35" s="7" t="str">
        <f t="shared" si="4"/>
        <v>UC + BR + WF</v>
      </c>
      <c r="Q35" s="6"/>
    </row>
    <row r="36" spans="1:17" ht="28.8" x14ac:dyDescent="0.3">
      <c r="A36" s="7" t="s">
        <v>136</v>
      </c>
      <c r="B36" s="7" t="s">
        <v>116</v>
      </c>
      <c r="C36" s="7" t="s">
        <v>41</v>
      </c>
      <c r="D36" s="7" t="s">
        <v>25</v>
      </c>
      <c r="E36" s="7" t="s">
        <v>137</v>
      </c>
      <c r="F36" s="7" t="s">
        <v>138</v>
      </c>
      <c r="G36" s="8">
        <v>1</v>
      </c>
      <c r="H36" s="7"/>
      <c r="I36" s="8">
        <v>0</v>
      </c>
      <c r="J36" s="7" t="s">
        <v>120</v>
      </c>
      <c r="K36" s="8">
        <v>1</v>
      </c>
      <c r="L36" s="8">
        <f t="shared" si="5"/>
        <v>1</v>
      </c>
      <c r="M36" s="8">
        <f t="shared" si="6"/>
        <v>0</v>
      </c>
      <c r="N36" s="8">
        <f t="shared" si="7"/>
        <v>1</v>
      </c>
      <c r="O36" s="8">
        <f t="shared" si="8"/>
        <v>1</v>
      </c>
      <c r="P36" s="7" t="str">
        <f t="shared" si="4"/>
        <v>UC + WF</v>
      </c>
      <c r="Q36" s="6"/>
    </row>
    <row r="37" spans="1:17" ht="43.2" x14ac:dyDescent="0.3">
      <c r="A37" s="7" t="s">
        <v>139</v>
      </c>
      <c r="B37" s="7" t="s">
        <v>140</v>
      </c>
      <c r="C37" s="7" t="s">
        <v>19</v>
      </c>
      <c r="D37" s="7" t="s">
        <v>18</v>
      </c>
      <c r="E37" s="7" t="s">
        <v>141</v>
      </c>
      <c r="F37" s="7" t="s">
        <v>142</v>
      </c>
      <c r="G37" s="8">
        <v>1</v>
      </c>
      <c r="H37" s="7" t="s">
        <v>143</v>
      </c>
      <c r="I37" s="8">
        <v>5</v>
      </c>
      <c r="J37" s="7" t="s">
        <v>144</v>
      </c>
      <c r="K37" s="8">
        <v>1</v>
      </c>
      <c r="L37" s="8">
        <f t="shared" si="5"/>
        <v>1</v>
      </c>
      <c r="M37" s="8">
        <f t="shared" si="6"/>
        <v>1</v>
      </c>
      <c r="N37" s="8">
        <f t="shared" si="7"/>
        <v>1</v>
      </c>
      <c r="O37" s="8">
        <f t="shared" si="8"/>
        <v>1</v>
      </c>
      <c r="P37" s="7" t="str">
        <f t="shared" si="4"/>
        <v>UC + BR + WF</v>
      </c>
      <c r="Q37" s="6"/>
    </row>
    <row r="38" spans="1:17" ht="28.8" x14ac:dyDescent="0.3">
      <c r="A38" s="7" t="s">
        <v>145</v>
      </c>
      <c r="B38" s="7" t="s">
        <v>140</v>
      </c>
      <c r="C38" s="7" t="s">
        <v>41</v>
      </c>
      <c r="D38" s="7" t="s">
        <v>25</v>
      </c>
      <c r="E38" s="7" t="s">
        <v>146</v>
      </c>
      <c r="F38" s="7" t="s">
        <v>142</v>
      </c>
      <c r="G38" s="8">
        <v>1</v>
      </c>
      <c r="H38" s="7"/>
      <c r="I38" s="8">
        <v>0</v>
      </c>
      <c r="J38" s="7" t="s">
        <v>144</v>
      </c>
      <c r="K38" s="8">
        <v>1</v>
      </c>
      <c r="L38" s="8">
        <f t="shared" si="5"/>
        <v>1</v>
      </c>
      <c r="M38" s="8">
        <f t="shared" si="6"/>
        <v>0</v>
      </c>
      <c r="N38" s="8">
        <f t="shared" si="7"/>
        <v>1</v>
      </c>
      <c r="O38" s="8">
        <f t="shared" si="8"/>
        <v>1</v>
      </c>
      <c r="P38" s="7" t="str">
        <f t="shared" si="4"/>
        <v>UC + WF</v>
      </c>
      <c r="Q38" s="6"/>
    </row>
    <row r="39" spans="1:17" x14ac:dyDescent="0.3">
      <c r="A39" s="7" t="s">
        <v>147</v>
      </c>
      <c r="B39" s="7" t="s">
        <v>140</v>
      </c>
      <c r="C39" s="7" t="s">
        <v>19</v>
      </c>
      <c r="D39" s="7" t="s">
        <v>52</v>
      </c>
      <c r="E39" s="7" t="s">
        <v>148</v>
      </c>
      <c r="F39" s="7" t="s">
        <v>149</v>
      </c>
      <c r="G39" s="8">
        <v>1</v>
      </c>
      <c r="H39" s="7" t="s">
        <v>150</v>
      </c>
      <c r="I39" s="8">
        <v>1</v>
      </c>
      <c r="J39" s="7" t="s">
        <v>144</v>
      </c>
      <c r="K39" s="8">
        <v>1</v>
      </c>
      <c r="L39" s="8">
        <f t="shared" si="5"/>
        <v>1</v>
      </c>
      <c r="M39" s="8">
        <f t="shared" si="6"/>
        <v>1</v>
      </c>
      <c r="N39" s="8">
        <f t="shared" si="7"/>
        <v>1</v>
      </c>
      <c r="O39" s="8">
        <f t="shared" si="8"/>
        <v>1</v>
      </c>
      <c r="P39" s="7" t="str">
        <f t="shared" si="4"/>
        <v>UC + BR + WF</v>
      </c>
      <c r="Q39" s="6"/>
    </row>
    <row r="40" spans="1:17" x14ac:dyDescent="0.3">
      <c r="A40" s="7" t="s">
        <v>151</v>
      </c>
      <c r="B40" s="7" t="s">
        <v>140</v>
      </c>
      <c r="C40" s="7" t="s">
        <v>19</v>
      </c>
      <c r="D40" s="7" t="s">
        <v>52</v>
      </c>
      <c r="E40" s="7" t="s">
        <v>152</v>
      </c>
      <c r="F40" s="7" t="s">
        <v>149</v>
      </c>
      <c r="G40" s="8">
        <v>1</v>
      </c>
      <c r="H40" s="7" t="s">
        <v>150</v>
      </c>
      <c r="I40" s="8">
        <v>1</v>
      </c>
      <c r="J40" s="7" t="s">
        <v>144</v>
      </c>
      <c r="K40" s="8">
        <v>1</v>
      </c>
      <c r="L40" s="8">
        <f t="shared" si="5"/>
        <v>1</v>
      </c>
      <c r="M40" s="8">
        <f t="shared" si="6"/>
        <v>1</v>
      </c>
      <c r="N40" s="8">
        <f t="shared" si="7"/>
        <v>1</v>
      </c>
      <c r="O40" s="8">
        <f t="shared" si="8"/>
        <v>1</v>
      </c>
      <c r="P40" s="7" t="str">
        <f t="shared" si="4"/>
        <v>UC + BR + WF</v>
      </c>
      <c r="Q40" s="6"/>
    </row>
    <row r="41" spans="1:17" ht="28.8" x14ac:dyDescent="0.3">
      <c r="A41" s="7" t="s">
        <v>153</v>
      </c>
      <c r="B41" s="7" t="s">
        <v>140</v>
      </c>
      <c r="C41" s="7" t="s">
        <v>41</v>
      </c>
      <c r="D41" s="7" t="s">
        <v>25</v>
      </c>
      <c r="E41" s="7" t="s">
        <v>154</v>
      </c>
      <c r="F41" s="7" t="s">
        <v>149</v>
      </c>
      <c r="G41" s="8">
        <v>1</v>
      </c>
      <c r="H41" s="7"/>
      <c r="I41" s="8">
        <v>0</v>
      </c>
      <c r="J41" s="7" t="s">
        <v>144</v>
      </c>
      <c r="K41" s="8">
        <v>1</v>
      </c>
      <c r="L41" s="8">
        <f t="shared" si="5"/>
        <v>1</v>
      </c>
      <c r="M41" s="8">
        <f t="shared" si="6"/>
        <v>0</v>
      </c>
      <c r="N41" s="8">
        <f t="shared" si="7"/>
        <v>1</v>
      </c>
      <c r="O41" s="8">
        <f t="shared" si="8"/>
        <v>1</v>
      </c>
      <c r="P41" s="7" t="str">
        <f t="shared" si="4"/>
        <v>UC + WF</v>
      </c>
      <c r="Q41" s="6"/>
    </row>
    <row r="42" spans="1:17" ht="28.8" x14ac:dyDescent="0.3">
      <c r="A42" s="7" t="s">
        <v>155</v>
      </c>
      <c r="B42" s="7" t="s">
        <v>156</v>
      </c>
      <c r="C42" s="7" t="s">
        <v>19</v>
      </c>
      <c r="D42" s="7" t="s">
        <v>18</v>
      </c>
      <c r="E42" s="7" t="s">
        <v>157</v>
      </c>
      <c r="F42" s="7" t="s">
        <v>158</v>
      </c>
      <c r="G42" s="8">
        <v>1</v>
      </c>
      <c r="H42" s="7" t="s">
        <v>159</v>
      </c>
      <c r="I42" s="8">
        <v>4</v>
      </c>
      <c r="J42" s="7" t="s">
        <v>160</v>
      </c>
      <c r="K42" s="8">
        <v>1</v>
      </c>
      <c r="L42" s="8">
        <f t="shared" si="5"/>
        <v>1</v>
      </c>
      <c r="M42" s="8">
        <f t="shared" si="6"/>
        <v>1</v>
      </c>
      <c r="N42" s="8">
        <f t="shared" si="7"/>
        <v>1</v>
      </c>
      <c r="O42" s="8">
        <f t="shared" si="8"/>
        <v>1</v>
      </c>
      <c r="P42" s="7" t="str">
        <f t="shared" si="4"/>
        <v>UC + BR + WF</v>
      </c>
      <c r="Q42" s="6"/>
    </row>
    <row r="43" spans="1:17" ht="28.8" x14ac:dyDescent="0.3">
      <c r="A43" s="7" t="s">
        <v>161</v>
      </c>
      <c r="B43" s="7" t="s">
        <v>156</v>
      </c>
      <c r="C43" s="7" t="s">
        <v>26</v>
      </c>
      <c r="D43" s="7" t="s">
        <v>25</v>
      </c>
      <c r="E43" s="7" t="s">
        <v>162</v>
      </c>
      <c r="F43" s="7" t="s">
        <v>158</v>
      </c>
      <c r="G43" s="8">
        <v>1</v>
      </c>
      <c r="H43" s="7"/>
      <c r="I43" s="8">
        <v>0</v>
      </c>
      <c r="J43" s="7" t="s">
        <v>160</v>
      </c>
      <c r="K43" s="8">
        <v>1</v>
      </c>
      <c r="L43" s="8">
        <f t="shared" si="5"/>
        <v>1</v>
      </c>
      <c r="M43" s="8">
        <f t="shared" si="6"/>
        <v>0</v>
      </c>
      <c r="N43" s="8">
        <f t="shared" si="7"/>
        <v>1</v>
      </c>
      <c r="O43" s="8">
        <f t="shared" si="8"/>
        <v>1</v>
      </c>
      <c r="P43" s="7" t="str">
        <f t="shared" si="4"/>
        <v>UC + WF</v>
      </c>
      <c r="Q43" s="6"/>
    </row>
    <row r="44" spans="1:17" ht="28.8" x14ac:dyDescent="0.3">
      <c r="A44" s="7" t="s">
        <v>163</v>
      </c>
      <c r="B44" s="7" t="s">
        <v>156</v>
      </c>
      <c r="C44" s="7" t="s">
        <v>41</v>
      </c>
      <c r="D44" s="7" t="s">
        <v>25</v>
      </c>
      <c r="E44" s="7" t="s">
        <v>164</v>
      </c>
      <c r="F44" s="7" t="s">
        <v>165</v>
      </c>
      <c r="G44" s="8">
        <v>2</v>
      </c>
      <c r="H44" s="7" t="s">
        <v>166</v>
      </c>
      <c r="I44" s="8">
        <v>1</v>
      </c>
      <c r="J44" s="7" t="s">
        <v>160</v>
      </c>
      <c r="K44" s="8">
        <v>1</v>
      </c>
      <c r="L44" s="8">
        <f t="shared" si="5"/>
        <v>1</v>
      </c>
      <c r="M44" s="8">
        <f t="shared" si="6"/>
        <v>1</v>
      </c>
      <c r="N44" s="8">
        <f t="shared" si="7"/>
        <v>1</v>
      </c>
      <c r="O44" s="8">
        <f t="shared" si="8"/>
        <v>1</v>
      </c>
      <c r="P44" s="7" t="str">
        <f t="shared" si="4"/>
        <v>UC + BR + WF</v>
      </c>
      <c r="Q44" s="6"/>
    </row>
    <row r="45" spans="1:17" ht="28.8" x14ac:dyDescent="0.3">
      <c r="A45" s="7" t="s">
        <v>167</v>
      </c>
      <c r="B45" s="7" t="s">
        <v>156</v>
      </c>
      <c r="C45" s="7" t="s">
        <v>26</v>
      </c>
      <c r="D45" s="7" t="s">
        <v>25</v>
      </c>
      <c r="E45" s="7" t="s">
        <v>168</v>
      </c>
      <c r="F45" s="7" t="s">
        <v>169</v>
      </c>
      <c r="G45" s="8">
        <v>1</v>
      </c>
      <c r="H45" s="7" t="s">
        <v>170</v>
      </c>
      <c r="I45" s="8">
        <v>1</v>
      </c>
      <c r="J45" s="7" t="s">
        <v>160</v>
      </c>
      <c r="K45" s="8">
        <v>1</v>
      </c>
      <c r="L45" s="8">
        <f t="shared" si="5"/>
        <v>1</v>
      </c>
      <c r="M45" s="8">
        <f t="shared" si="6"/>
        <v>1</v>
      </c>
      <c r="N45" s="8">
        <f t="shared" si="7"/>
        <v>1</v>
      </c>
      <c r="O45" s="8">
        <f t="shared" si="8"/>
        <v>1</v>
      </c>
      <c r="P45" s="7" t="str">
        <f t="shared" si="4"/>
        <v>UC + BR + WF</v>
      </c>
      <c r="Q45" s="6"/>
    </row>
    <row r="46" spans="1:17" ht="28.8" x14ac:dyDescent="0.3">
      <c r="A46" s="7" t="s">
        <v>171</v>
      </c>
      <c r="B46" s="7" t="s">
        <v>156</v>
      </c>
      <c r="C46" s="7" t="s">
        <v>19</v>
      </c>
      <c r="D46" s="7" t="s">
        <v>172</v>
      </c>
      <c r="E46" s="7" t="s">
        <v>173</v>
      </c>
      <c r="F46" s="7" t="s">
        <v>174</v>
      </c>
      <c r="G46" s="8">
        <v>1</v>
      </c>
      <c r="H46" s="7" t="s">
        <v>175</v>
      </c>
      <c r="I46" s="8">
        <v>4</v>
      </c>
      <c r="J46" s="7" t="s">
        <v>160</v>
      </c>
      <c r="K46" s="8">
        <v>1</v>
      </c>
      <c r="L46" s="8">
        <f t="shared" si="5"/>
        <v>1</v>
      </c>
      <c r="M46" s="8">
        <f t="shared" si="6"/>
        <v>1</v>
      </c>
      <c r="N46" s="8">
        <f t="shared" si="7"/>
        <v>1</v>
      </c>
      <c r="O46" s="8">
        <f t="shared" si="8"/>
        <v>1</v>
      </c>
      <c r="P46" s="7" t="str">
        <f t="shared" si="4"/>
        <v>UC + BR + WF</v>
      </c>
      <c r="Q46" s="6"/>
    </row>
    <row r="47" spans="1:17" ht="28.8" x14ac:dyDescent="0.3">
      <c r="A47" s="7" t="s">
        <v>176</v>
      </c>
      <c r="B47" s="7" t="s">
        <v>156</v>
      </c>
      <c r="C47" s="7" t="s">
        <v>19</v>
      </c>
      <c r="D47" s="7" t="s">
        <v>172</v>
      </c>
      <c r="E47" s="7" t="s">
        <v>177</v>
      </c>
      <c r="F47" s="7" t="s">
        <v>174</v>
      </c>
      <c r="G47" s="8">
        <v>1</v>
      </c>
      <c r="H47" s="7" t="s">
        <v>175</v>
      </c>
      <c r="I47" s="8">
        <v>4</v>
      </c>
      <c r="J47" s="7" t="s">
        <v>160</v>
      </c>
      <c r="K47" s="8">
        <v>1</v>
      </c>
      <c r="L47" s="8">
        <f t="shared" si="5"/>
        <v>1</v>
      </c>
      <c r="M47" s="8">
        <f t="shared" si="6"/>
        <v>1</v>
      </c>
      <c r="N47" s="8">
        <f t="shared" si="7"/>
        <v>1</v>
      </c>
      <c r="O47" s="8">
        <f t="shared" si="8"/>
        <v>1</v>
      </c>
      <c r="P47" s="7" t="str">
        <f t="shared" si="4"/>
        <v>UC + BR + WF</v>
      </c>
      <c r="Q47" s="6"/>
    </row>
    <row r="48" spans="1:17" ht="28.8" x14ac:dyDescent="0.3">
      <c r="A48" s="7" t="s">
        <v>178</v>
      </c>
      <c r="B48" s="7" t="s">
        <v>179</v>
      </c>
      <c r="C48" s="7" t="s">
        <v>19</v>
      </c>
      <c r="D48" s="7" t="s">
        <v>52</v>
      </c>
      <c r="E48" s="7" t="s">
        <v>180</v>
      </c>
      <c r="F48" s="7" t="s">
        <v>181</v>
      </c>
      <c r="G48" s="8">
        <v>1</v>
      </c>
      <c r="H48" s="7" t="s">
        <v>182</v>
      </c>
      <c r="I48" s="8">
        <v>1</v>
      </c>
      <c r="J48" s="7" t="s">
        <v>183</v>
      </c>
      <c r="K48" s="8">
        <v>1</v>
      </c>
      <c r="L48" s="8">
        <f t="shared" si="5"/>
        <v>1</v>
      </c>
      <c r="M48" s="8">
        <f t="shared" si="6"/>
        <v>1</v>
      </c>
      <c r="N48" s="8">
        <f t="shared" si="7"/>
        <v>1</v>
      </c>
      <c r="O48" s="8">
        <f t="shared" si="8"/>
        <v>1</v>
      </c>
      <c r="P48" s="7" t="str">
        <f t="shared" si="4"/>
        <v>UC + BR + WF</v>
      </c>
      <c r="Q48" s="6"/>
    </row>
    <row r="49" spans="1:17" ht="28.8" x14ac:dyDescent="0.3">
      <c r="A49" s="7" t="s">
        <v>184</v>
      </c>
      <c r="B49" s="7" t="s">
        <v>179</v>
      </c>
      <c r="C49" s="7" t="s">
        <v>26</v>
      </c>
      <c r="D49" s="7" t="s">
        <v>25</v>
      </c>
      <c r="E49" s="7" t="s">
        <v>185</v>
      </c>
      <c r="F49" s="7" t="s">
        <v>181</v>
      </c>
      <c r="G49" s="8">
        <v>1</v>
      </c>
      <c r="H49" s="7" t="s">
        <v>186</v>
      </c>
      <c r="I49" s="8">
        <v>2</v>
      </c>
      <c r="J49" s="7" t="s">
        <v>183</v>
      </c>
      <c r="K49" s="8">
        <v>1</v>
      </c>
      <c r="L49" s="8">
        <f t="shared" si="5"/>
        <v>1</v>
      </c>
      <c r="M49" s="8">
        <f t="shared" si="6"/>
        <v>1</v>
      </c>
      <c r="N49" s="8">
        <f t="shared" si="7"/>
        <v>1</v>
      </c>
      <c r="O49" s="8">
        <f t="shared" si="8"/>
        <v>1</v>
      </c>
      <c r="P49" s="7" t="str">
        <f t="shared" si="4"/>
        <v>UC + BR + WF</v>
      </c>
      <c r="Q49" s="6"/>
    </row>
    <row r="50" spans="1:17" x14ac:dyDescent="0.3">
      <c r="A50" s="7" t="s">
        <v>187</v>
      </c>
      <c r="B50" s="7" t="s">
        <v>179</v>
      </c>
      <c r="C50" s="7" t="s">
        <v>19</v>
      </c>
      <c r="D50" s="7" t="s">
        <v>18</v>
      </c>
      <c r="E50" s="7" t="s">
        <v>188</v>
      </c>
      <c r="F50" s="7" t="s">
        <v>189</v>
      </c>
      <c r="G50" s="8">
        <v>1</v>
      </c>
      <c r="H50" s="7" t="s">
        <v>47</v>
      </c>
      <c r="I50" s="8">
        <v>1</v>
      </c>
      <c r="J50" s="7" t="s">
        <v>183</v>
      </c>
      <c r="K50" s="8">
        <v>1</v>
      </c>
      <c r="L50" s="8">
        <f t="shared" si="5"/>
        <v>1</v>
      </c>
      <c r="M50" s="8">
        <f t="shared" si="6"/>
        <v>1</v>
      </c>
      <c r="N50" s="8">
        <f t="shared" si="7"/>
        <v>1</v>
      </c>
      <c r="O50" s="8">
        <f t="shared" si="8"/>
        <v>1</v>
      </c>
      <c r="P50" s="7" t="str">
        <f t="shared" si="4"/>
        <v>UC + BR + WF</v>
      </c>
      <c r="Q50" s="6"/>
    </row>
    <row r="51" spans="1:17" x14ac:dyDescent="0.3">
      <c r="A51" s="7" t="s">
        <v>190</v>
      </c>
      <c r="B51" s="7" t="s">
        <v>179</v>
      </c>
      <c r="C51" s="7" t="s">
        <v>19</v>
      </c>
      <c r="D51" s="7" t="s">
        <v>68</v>
      </c>
      <c r="E51" s="7" t="s">
        <v>191</v>
      </c>
      <c r="F51" s="7" t="s">
        <v>192</v>
      </c>
      <c r="G51" s="8">
        <v>1</v>
      </c>
      <c r="H51" s="7" t="s">
        <v>193</v>
      </c>
      <c r="I51" s="8">
        <v>1</v>
      </c>
      <c r="J51" s="7" t="s">
        <v>183</v>
      </c>
      <c r="K51" s="8">
        <v>1</v>
      </c>
      <c r="L51" s="8">
        <f t="shared" si="5"/>
        <v>1</v>
      </c>
      <c r="M51" s="8">
        <f t="shared" si="6"/>
        <v>1</v>
      </c>
      <c r="N51" s="8">
        <f t="shared" si="7"/>
        <v>1</v>
      </c>
      <c r="O51" s="8">
        <f t="shared" si="8"/>
        <v>1</v>
      </c>
      <c r="P51" s="7" t="str">
        <f t="shared" si="4"/>
        <v>UC + BR + WF</v>
      </c>
      <c r="Q51" s="6"/>
    </row>
    <row r="52" spans="1:17" ht="28.8" x14ac:dyDescent="0.3">
      <c r="A52" s="7" t="s">
        <v>194</v>
      </c>
      <c r="B52" s="7" t="s">
        <v>195</v>
      </c>
      <c r="C52" s="7" t="s">
        <v>19</v>
      </c>
      <c r="D52" s="7" t="s">
        <v>52</v>
      </c>
      <c r="E52" s="7" t="s">
        <v>196</v>
      </c>
      <c r="F52" s="7" t="s">
        <v>197</v>
      </c>
      <c r="G52" s="8">
        <v>2</v>
      </c>
      <c r="H52" s="7" t="s">
        <v>198</v>
      </c>
      <c r="I52" s="8">
        <v>2</v>
      </c>
      <c r="J52" s="7" t="s">
        <v>199</v>
      </c>
      <c r="K52" s="8">
        <v>1</v>
      </c>
      <c r="L52" s="8">
        <f t="shared" si="5"/>
        <v>1</v>
      </c>
      <c r="M52" s="8">
        <f t="shared" si="6"/>
        <v>1</v>
      </c>
      <c r="N52" s="8">
        <f t="shared" si="7"/>
        <v>1</v>
      </c>
      <c r="O52" s="8">
        <f t="shared" si="8"/>
        <v>1</v>
      </c>
      <c r="P52" s="7" t="str">
        <f t="shared" si="4"/>
        <v>UC + BR + WF</v>
      </c>
      <c r="Q52" s="6"/>
    </row>
    <row r="53" spans="1:17" ht="28.8" x14ac:dyDescent="0.3">
      <c r="A53" s="7" t="s">
        <v>200</v>
      </c>
      <c r="B53" s="7" t="s">
        <v>195</v>
      </c>
      <c r="C53" s="7" t="s">
        <v>26</v>
      </c>
      <c r="D53" s="7" t="s">
        <v>172</v>
      </c>
      <c r="E53" s="7" t="s">
        <v>201</v>
      </c>
      <c r="F53" s="7" t="s">
        <v>202</v>
      </c>
      <c r="G53" s="8">
        <v>1</v>
      </c>
      <c r="H53" s="7"/>
      <c r="I53" s="8">
        <v>0</v>
      </c>
      <c r="J53" s="7" t="s">
        <v>199</v>
      </c>
      <c r="K53" s="8">
        <v>1</v>
      </c>
      <c r="L53" s="8">
        <f t="shared" si="5"/>
        <v>1</v>
      </c>
      <c r="M53" s="8">
        <f t="shared" si="6"/>
        <v>0</v>
      </c>
      <c r="N53" s="8">
        <f t="shared" si="7"/>
        <v>1</v>
      </c>
      <c r="O53" s="8">
        <f t="shared" si="8"/>
        <v>1</v>
      </c>
      <c r="P53" s="7" t="str">
        <f t="shared" si="4"/>
        <v>UC + WF</v>
      </c>
      <c r="Q53" s="7" t="s">
        <v>354</v>
      </c>
    </row>
    <row r="54" spans="1:17" ht="28.8" x14ac:dyDescent="0.3">
      <c r="A54" s="7" t="s">
        <v>203</v>
      </c>
      <c r="B54" s="7" t="s">
        <v>195</v>
      </c>
      <c r="C54" s="7" t="s">
        <v>19</v>
      </c>
      <c r="D54" s="7" t="s">
        <v>204</v>
      </c>
      <c r="E54" s="7" t="s">
        <v>205</v>
      </c>
      <c r="F54" s="7" t="s">
        <v>206</v>
      </c>
      <c r="G54" s="8">
        <v>2</v>
      </c>
      <c r="H54" s="7"/>
      <c r="I54" s="8">
        <v>0</v>
      </c>
      <c r="J54" s="7" t="s">
        <v>207</v>
      </c>
      <c r="K54" s="8">
        <v>2</v>
      </c>
      <c r="L54" s="8">
        <f t="shared" si="5"/>
        <v>1</v>
      </c>
      <c r="M54" s="8">
        <f t="shared" si="6"/>
        <v>0</v>
      </c>
      <c r="N54" s="8">
        <f t="shared" si="7"/>
        <v>1</v>
      </c>
      <c r="O54" s="8">
        <f t="shared" si="8"/>
        <v>1</v>
      </c>
      <c r="P54" s="7" t="str">
        <f t="shared" si="4"/>
        <v>UC + WF</v>
      </c>
      <c r="Q54" s="7" t="s">
        <v>354</v>
      </c>
    </row>
    <row r="55" spans="1:17" ht="28.8" x14ac:dyDescent="0.3">
      <c r="A55" s="7" t="s">
        <v>208</v>
      </c>
      <c r="B55" s="7" t="s">
        <v>195</v>
      </c>
      <c r="C55" s="7" t="s">
        <v>41</v>
      </c>
      <c r="D55" s="7" t="s">
        <v>25</v>
      </c>
      <c r="E55" s="7" t="s">
        <v>209</v>
      </c>
      <c r="F55" s="7" t="s">
        <v>197</v>
      </c>
      <c r="G55" s="8">
        <v>2</v>
      </c>
      <c r="H55" s="7" t="s">
        <v>210</v>
      </c>
      <c r="I55" s="8">
        <v>2</v>
      </c>
      <c r="J55" s="7" t="s">
        <v>199</v>
      </c>
      <c r="K55" s="8">
        <v>1</v>
      </c>
      <c r="L55" s="8">
        <f t="shared" si="5"/>
        <v>1</v>
      </c>
      <c r="M55" s="8">
        <f t="shared" si="6"/>
        <v>1</v>
      </c>
      <c r="N55" s="8">
        <f t="shared" si="7"/>
        <v>1</v>
      </c>
      <c r="O55" s="8">
        <f t="shared" si="8"/>
        <v>1</v>
      </c>
      <c r="P55" s="7" t="str">
        <f t="shared" si="4"/>
        <v>UC + BR + WF</v>
      </c>
      <c r="Q55" s="6"/>
    </row>
    <row r="56" spans="1:17" x14ac:dyDescent="0.3">
      <c r="A56" s="7" t="s">
        <v>211</v>
      </c>
      <c r="B56" s="7" t="s">
        <v>212</v>
      </c>
      <c r="C56" s="7" t="s">
        <v>19</v>
      </c>
      <c r="D56" s="7" t="s">
        <v>68</v>
      </c>
      <c r="E56" s="7" t="s">
        <v>213</v>
      </c>
      <c r="F56" s="7" t="s">
        <v>214</v>
      </c>
      <c r="G56" s="8">
        <v>1</v>
      </c>
      <c r="H56" s="7" t="s">
        <v>215</v>
      </c>
      <c r="I56" s="8">
        <v>2</v>
      </c>
      <c r="J56" s="7" t="s">
        <v>216</v>
      </c>
      <c r="K56" s="8">
        <v>1</v>
      </c>
      <c r="L56" s="8">
        <f t="shared" si="5"/>
        <v>1</v>
      </c>
      <c r="M56" s="8">
        <f t="shared" si="6"/>
        <v>1</v>
      </c>
      <c r="N56" s="8">
        <f t="shared" si="7"/>
        <v>1</v>
      </c>
      <c r="O56" s="8">
        <f t="shared" si="8"/>
        <v>1</v>
      </c>
      <c r="P56" s="7" t="str">
        <f t="shared" si="4"/>
        <v>UC + BR + WF</v>
      </c>
      <c r="Q56" s="6"/>
    </row>
    <row r="57" spans="1:17" ht="28.8" x14ac:dyDescent="0.3">
      <c r="A57" s="7" t="s">
        <v>217</v>
      </c>
      <c r="B57" s="7" t="s">
        <v>212</v>
      </c>
      <c r="C57" s="7" t="s">
        <v>26</v>
      </c>
      <c r="D57" s="7" t="s">
        <v>25</v>
      </c>
      <c r="E57" s="7" t="s">
        <v>218</v>
      </c>
      <c r="F57" s="7" t="s">
        <v>214</v>
      </c>
      <c r="G57" s="8">
        <v>1</v>
      </c>
      <c r="H57" s="7" t="s">
        <v>215</v>
      </c>
      <c r="I57" s="8">
        <v>2</v>
      </c>
      <c r="J57" s="7" t="s">
        <v>216</v>
      </c>
      <c r="K57" s="8">
        <v>1</v>
      </c>
      <c r="L57" s="8">
        <f t="shared" si="5"/>
        <v>1</v>
      </c>
      <c r="M57" s="8">
        <f t="shared" si="6"/>
        <v>1</v>
      </c>
      <c r="N57" s="8">
        <f t="shared" si="7"/>
        <v>1</v>
      </c>
      <c r="O57" s="8">
        <f t="shared" si="8"/>
        <v>1</v>
      </c>
      <c r="P57" s="7" t="str">
        <f t="shared" si="4"/>
        <v>UC + BR + WF</v>
      </c>
      <c r="Q57" s="6"/>
    </row>
    <row r="58" spans="1:17" ht="28.8" x14ac:dyDescent="0.3">
      <c r="A58" s="7" t="s">
        <v>219</v>
      </c>
      <c r="B58" s="7" t="s">
        <v>212</v>
      </c>
      <c r="C58" s="7" t="s">
        <v>41</v>
      </c>
      <c r="D58" s="7" t="s">
        <v>25</v>
      </c>
      <c r="E58" s="7" t="s">
        <v>220</v>
      </c>
      <c r="F58" s="7" t="s">
        <v>221</v>
      </c>
      <c r="G58" s="8">
        <v>1</v>
      </c>
      <c r="H58" s="7" t="s">
        <v>222</v>
      </c>
      <c r="I58" s="8">
        <v>2</v>
      </c>
      <c r="J58" s="7" t="s">
        <v>216</v>
      </c>
      <c r="K58" s="8">
        <v>1</v>
      </c>
      <c r="L58" s="8">
        <f t="shared" si="5"/>
        <v>1</v>
      </c>
      <c r="M58" s="8">
        <f t="shared" si="6"/>
        <v>1</v>
      </c>
      <c r="N58" s="8">
        <f t="shared" si="7"/>
        <v>1</v>
      </c>
      <c r="O58" s="8">
        <f t="shared" si="8"/>
        <v>1</v>
      </c>
      <c r="P58" s="7" t="str">
        <f t="shared" si="4"/>
        <v>UC + BR + WF</v>
      </c>
      <c r="Q58" s="6"/>
    </row>
    <row r="59" spans="1:17" ht="28.8" x14ac:dyDescent="0.3">
      <c r="A59" s="7" t="s">
        <v>223</v>
      </c>
      <c r="B59" s="7" t="s">
        <v>224</v>
      </c>
      <c r="C59" s="7" t="s">
        <v>19</v>
      </c>
      <c r="D59" s="7" t="s">
        <v>225</v>
      </c>
      <c r="E59" s="7" t="s">
        <v>226</v>
      </c>
      <c r="F59" s="7" t="s">
        <v>227</v>
      </c>
      <c r="G59" s="8">
        <v>1</v>
      </c>
      <c r="H59" s="7" t="s">
        <v>228</v>
      </c>
      <c r="I59" s="8">
        <v>3</v>
      </c>
      <c r="J59" s="7" t="s">
        <v>229</v>
      </c>
      <c r="K59" s="8">
        <v>1</v>
      </c>
      <c r="L59" s="8">
        <f t="shared" si="5"/>
        <v>1</v>
      </c>
      <c r="M59" s="8">
        <f t="shared" si="6"/>
        <v>1</v>
      </c>
      <c r="N59" s="8">
        <f t="shared" si="7"/>
        <v>1</v>
      </c>
      <c r="O59" s="8">
        <f t="shared" si="8"/>
        <v>1</v>
      </c>
      <c r="P59" s="7" t="str">
        <f t="shared" si="4"/>
        <v>UC + BR + WF</v>
      </c>
      <c r="Q59" s="6"/>
    </row>
    <row r="60" spans="1:17" ht="28.8" x14ac:dyDescent="0.3">
      <c r="A60" s="7" t="s">
        <v>230</v>
      </c>
      <c r="B60" s="7" t="s">
        <v>224</v>
      </c>
      <c r="C60" s="7" t="s">
        <v>26</v>
      </c>
      <c r="D60" s="7" t="s">
        <v>25</v>
      </c>
      <c r="E60" s="7" t="s">
        <v>231</v>
      </c>
      <c r="F60" s="7" t="s">
        <v>232</v>
      </c>
      <c r="G60" s="8">
        <v>1</v>
      </c>
      <c r="H60" s="7" t="s">
        <v>233</v>
      </c>
      <c r="I60" s="8">
        <v>4</v>
      </c>
      <c r="J60" s="7" t="s">
        <v>229</v>
      </c>
      <c r="K60" s="8">
        <v>1</v>
      </c>
      <c r="L60" s="8">
        <f t="shared" si="5"/>
        <v>1</v>
      </c>
      <c r="M60" s="8">
        <f t="shared" si="6"/>
        <v>1</v>
      </c>
      <c r="N60" s="8">
        <f t="shared" si="7"/>
        <v>1</v>
      </c>
      <c r="O60" s="8">
        <f t="shared" si="8"/>
        <v>1</v>
      </c>
      <c r="P60" s="7" t="str">
        <f t="shared" si="4"/>
        <v>UC + BR + WF</v>
      </c>
      <c r="Q60" s="6"/>
    </row>
    <row r="61" spans="1:17" ht="28.8" x14ac:dyDescent="0.3">
      <c r="A61" s="7" t="s">
        <v>234</v>
      </c>
      <c r="B61" s="7" t="s">
        <v>224</v>
      </c>
      <c r="C61" s="7" t="s">
        <v>41</v>
      </c>
      <c r="D61" s="7" t="s">
        <v>25</v>
      </c>
      <c r="E61" s="7" t="s">
        <v>235</v>
      </c>
      <c r="F61" s="7" t="s">
        <v>232</v>
      </c>
      <c r="G61" s="8">
        <v>1</v>
      </c>
      <c r="H61" s="7" t="s">
        <v>236</v>
      </c>
      <c r="I61" s="8">
        <v>2</v>
      </c>
      <c r="J61" s="7" t="s">
        <v>229</v>
      </c>
      <c r="K61" s="8">
        <v>1</v>
      </c>
      <c r="L61" s="8">
        <f t="shared" si="5"/>
        <v>1</v>
      </c>
      <c r="M61" s="8">
        <f t="shared" si="6"/>
        <v>1</v>
      </c>
      <c r="N61" s="8">
        <f t="shared" si="7"/>
        <v>1</v>
      </c>
      <c r="O61" s="8">
        <f t="shared" si="8"/>
        <v>1</v>
      </c>
      <c r="P61" s="7" t="str">
        <f t="shared" si="4"/>
        <v>UC + BR + WF</v>
      </c>
      <c r="Q61" s="6"/>
    </row>
    <row r="62" spans="1:17" ht="28.8" x14ac:dyDescent="0.3">
      <c r="A62" s="7" t="s">
        <v>237</v>
      </c>
      <c r="B62" s="7" t="s">
        <v>224</v>
      </c>
      <c r="C62" s="7" t="s">
        <v>26</v>
      </c>
      <c r="D62" s="7" t="s">
        <v>25</v>
      </c>
      <c r="E62" s="7" t="s">
        <v>238</v>
      </c>
      <c r="F62" s="7" t="s">
        <v>232</v>
      </c>
      <c r="G62" s="8">
        <v>1</v>
      </c>
      <c r="H62" s="7" t="s">
        <v>239</v>
      </c>
      <c r="I62" s="8">
        <v>2</v>
      </c>
      <c r="J62" s="7" t="s">
        <v>229</v>
      </c>
      <c r="K62" s="8">
        <v>1</v>
      </c>
      <c r="L62" s="8">
        <f t="shared" si="5"/>
        <v>1</v>
      </c>
      <c r="M62" s="8">
        <f t="shared" si="6"/>
        <v>1</v>
      </c>
      <c r="N62" s="8">
        <f t="shared" si="7"/>
        <v>1</v>
      </c>
      <c r="O62" s="8">
        <f t="shared" si="8"/>
        <v>1</v>
      </c>
      <c r="P62" s="7" t="str">
        <f t="shared" si="4"/>
        <v>UC + BR + WF</v>
      </c>
      <c r="Q62" s="6"/>
    </row>
    <row r="63" spans="1:17" ht="28.8" x14ac:dyDescent="0.3">
      <c r="A63" s="7" t="s">
        <v>240</v>
      </c>
      <c r="B63" s="7" t="s">
        <v>241</v>
      </c>
      <c r="C63" s="7" t="s">
        <v>26</v>
      </c>
      <c r="D63" s="7" t="s">
        <v>25</v>
      </c>
      <c r="E63" s="7" t="s">
        <v>242</v>
      </c>
      <c r="F63" s="7" t="s">
        <v>243</v>
      </c>
      <c r="G63" s="8">
        <v>1</v>
      </c>
      <c r="H63" s="7" t="s">
        <v>244</v>
      </c>
      <c r="I63" s="8">
        <v>4</v>
      </c>
      <c r="J63" s="7" t="s">
        <v>245</v>
      </c>
      <c r="K63" s="8">
        <v>1</v>
      </c>
      <c r="L63" s="8">
        <f t="shared" si="5"/>
        <v>1</v>
      </c>
      <c r="M63" s="8">
        <f t="shared" si="6"/>
        <v>1</v>
      </c>
      <c r="N63" s="8">
        <f t="shared" si="7"/>
        <v>1</v>
      </c>
      <c r="O63" s="8">
        <f t="shared" si="8"/>
        <v>1</v>
      </c>
      <c r="P63" s="7" t="str">
        <f t="shared" si="4"/>
        <v>UC + BR + WF</v>
      </c>
      <c r="Q63" s="6"/>
    </row>
    <row r="64" spans="1:17" ht="28.8" x14ac:dyDescent="0.3">
      <c r="A64" s="7" t="s">
        <v>246</v>
      </c>
      <c r="B64" s="7" t="s">
        <v>241</v>
      </c>
      <c r="C64" s="7" t="s">
        <v>26</v>
      </c>
      <c r="D64" s="7" t="s">
        <v>25</v>
      </c>
      <c r="E64" s="7" t="s">
        <v>247</v>
      </c>
      <c r="F64" s="7" t="s">
        <v>248</v>
      </c>
      <c r="G64" s="8">
        <v>2</v>
      </c>
      <c r="H64" s="7" t="s">
        <v>244</v>
      </c>
      <c r="I64" s="8">
        <v>4</v>
      </c>
      <c r="J64" s="7" t="s">
        <v>245</v>
      </c>
      <c r="K64" s="8">
        <v>1</v>
      </c>
      <c r="L64" s="8">
        <f t="shared" si="5"/>
        <v>1</v>
      </c>
      <c r="M64" s="8">
        <f t="shared" si="6"/>
        <v>1</v>
      </c>
      <c r="N64" s="8">
        <f t="shared" si="7"/>
        <v>1</v>
      </c>
      <c r="O64" s="8">
        <f t="shared" si="8"/>
        <v>1</v>
      </c>
      <c r="P64" s="7" t="str">
        <f t="shared" si="4"/>
        <v>UC + BR + WF</v>
      </c>
      <c r="Q64" s="6"/>
    </row>
    <row r="65" spans="1:17" ht="28.8" x14ac:dyDescent="0.3">
      <c r="A65" s="7" t="s">
        <v>249</v>
      </c>
      <c r="B65" s="7" t="s">
        <v>241</v>
      </c>
      <c r="C65" s="7" t="s">
        <v>26</v>
      </c>
      <c r="D65" s="7" t="s">
        <v>25</v>
      </c>
      <c r="E65" s="7" t="s">
        <v>250</v>
      </c>
      <c r="F65" s="7" t="s">
        <v>251</v>
      </c>
      <c r="G65" s="8">
        <v>2</v>
      </c>
      <c r="H65" s="7" t="s">
        <v>244</v>
      </c>
      <c r="I65" s="8">
        <v>4</v>
      </c>
      <c r="J65" s="7" t="s">
        <v>252</v>
      </c>
      <c r="K65" s="8">
        <v>2</v>
      </c>
      <c r="L65" s="8">
        <f t="shared" si="5"/>
        <v>1</v>
      </c>
      <c r="M65" s="8">
        <f t="shared" si="6"/>
        <v>1</v>
      </c>
      <c r="N65" s="8">
        <f t="shared" si="7"/>
        <v>1</v>
      </c>
      <c r="O65" s="8">
        <f t="shared" si="8"/>
        <v>1</v>
      </c>
      <c r="P65" s="7" t="str">
        <f t="shared" si="4"/>
        <v>UC + BR + WF</v>
      </c>
      <c r="Q65" s="6"/>
    </row>
    <row r="66" spans="1:17" ht="28.8" x14ac:dyDescent="0.3">
      <c r="A66" s="7" t="s">
        <v>253</v>
      </c>
      <c r="B66" s="7" t="s">
        <v>241</v>
      </c>
      <c r="C66" s="7" t="s">
        <v>26</v>
      </c>
      <c r="D66" s="7" t="s">
        <v>25</v>
      </c>
      <c r="E66" s="7" t="s">
        <v>254</v>
      </c>
      <c r="F66" s="7" t="s">
        <v>255</v>
      </c>
      <c r="G66" s="8">
        <v>2</v>
      </c>
      <c r="H66" s="7" t="s">
        <v>244</v>
      </c>
      <c r="I66" s="8">
        <v>4</v>
      </c>
      <c r="J66" s="7" t="s">
        <v>245</v>
      </c>
      <c r="K66" s="8">
        <v>1</v>
      </c>
      <c r="L66" s="8">
        <f t="shared" ref="L66:L92" si="9">IF(G66&gt;0,1,0)</f>
        <v>1</v>
      </c>
      <c r="M66" s="8">
        <f t="shared" ref="M66:M92" si="10">IF(I66&gt;0,1,0)</f>
        <v>1</v>
      </c>
      <c r="N66" s="8">
        <f t="shared" ref="N66:N92" si="11">IF(K66&gt;0,1,0)</f>
        <v>1</v>
      </c>
      <c r="O66" s="8">
        <f t="shared" ref="O66:O92" si="12">IF(OR(L66=1,M66=1,N66=1),1,0)</f>
        <v>1</v>
      </c>
      <c r="P66" s="7" t="str">
        <f t="shared" si="4"/>
        <v>UC + BR + WF</v>
      </c>
      <c r="Q66" s="6"/>
    </row>
    <row r="67" spans="1:17" ht="28.8" x14ac:dyDescent="0.3">
      <c r="A67" s="7" t="s">
        <v>256</v>
      </c>
      <c r="B67" s="7" t="s">
        <v>241</v>
      </c>
      <c r="C67" s="7" t="s">
        <v>26</v>
      </c>
      <c r="D67" s="7" t="s">
        <v>25</v>
      </c>
      <c r="E67" s="7" t="s">
        <v>257</v>
      </c>
      <c r="F67" s="7" t="s">
        <v>243</v>
      </c>
      <c r="G67" s="8">
        <v>1</v>
      </c>
      <c r="H67" s="7" t="s">
        <v>244</v>
      </c>
      <c r="I67" s="8">
        <v>4</v>
      </c>
      <c r="J67" s="7" t="s">
        <v>245</v>
      </c>
      <c r="K67" s="8">
        <v>1</v>
      </c>
      <c r="L67" s="8">
        <f t="shared" si="9"/>
        <v>1</v>
      </c>
      <c r="M67" s="8">
        <f t="shared" si="10"/>
        <v>1</v>
      </c>
      <c r="N67" s="8">
        <f t="shared" si="11"/>
        <v>1</v>
      </c>
      <c r="O67" s="8">
        <f t="shared" si="12"/>
        <v>1</v>
      </c>
      <c r="P67" s="7" t="str">
        <f t="shared" ref="P67:P92" si="13">IF(O67=0,"Uncovered",_xlfn.TEXTJOIN(" + ",TRUE,IF(L67=1,"UC",""),IF(M67=1,"BR",""),IF(N67=1,"WF","")))</f>
        <v>UC + BR + WF</v>
      </c>
      <c r="Q67" s="6"/>
    </row>
    <row r="68" spans="1:17" ht="43.2" x14ac:dyDescent="0.3">
      <c r="A68" s="7" t="s">
        <v>258</v>
      </c>
      <c r="B68" s="7" t="s">
        <v>241</v>
      </c>
      <c r="C68" s="7" t="s">
        <v>26</v>
      </c>
      <c r="D68" s="7" t="s">
        <v>25</v>
      </c>
      <c r="E68" s="7" t="s">
        <v>259</v>
      </c>
      <c r="F68" s="7" t="s">
        <v>243</v>
      </c>
      <c r="G68" s="8">
        <v>1</v>
      </c>
      <c r="H68" s="7" t="s">
        <v>260</v>
      </c>
      <c r="I68" s="8">
        <v>5</v>
      </c>
      <c r="J68" s="7" t="s">
        <v>245</v>
      </c>
      <c r="K68" s="8">
        <v>1</v>
      </c>
      <c r="L68" s="8">
        <f t="shared" si="9"/>
        <v>1</v>
      </c>
      <c r="M68" s="8">
        <f t="shared" si="10"/>
        <v>1</v>
      </c>
      <c r="N68" s="8">
        <f t="shared" si="11"/>
        <v>1</v>
      </c>
      <c r="O68" s="8">
        <f t="shared" si="12"/>
        <v>1</v>
      </c>
      <c r="P68" s="7" t="str">
        <f t="shared" si="13"/>
        <v>UC + BR + WF</v>
      </c>
      <c r="Q68" s="6"/>
    </row>
    <row r="69" spans="1:17" ht="43.2" x14ac:dyDescent="0.3">
      <c r="A69" s="7" t="s">
        <v>261</v>
      </c>
      <c r="B69" s="7" t="s">
        <v>241</v>
      </c>
      <c r="C69" s="7" t="s">
        <v>26</v>
      </c>
      <c r="D69" s="7" t="s">
        <v>25</v>
      </c>
      <c r="E69" s="7" t="s">
        <v>262</v>
      </c>
      <c r="F69" s="7" t="s">
        <v>263</v>
      </c>
      <c r="G69" s="8">
        <v>1</v>
      </c>
      <c r="H69" s="7" t="s">
        <v>264</v>
      </c>
      <c r="I69" s="8">
        <v>6</v>
      </c>
      <c r="J69" s="7" t="s">
        <v>245</v>
      </c>
      <c r="K69" s="8">
        <v>1</v>
      </c>
      <c r="L69" s="8">
        <f t="shared" si="9"/>
        <v>1</v>
      </c>
      <c r="M69" s="8">
        <f t="shared" si="10"/>
        <v>1</v>
      </c>
      <c r="N69" s="8">
        <f t="shared" si="11"/>
        <v>1</v>
      </c>
      <c r="O69" s="8">
        <f t="shared" si="12"/>
        <v>1</v>
      </c>
      <c r="P69" s="7" t="str">
        <f t="shared" si="13"/>
        <v>UC + BR + WF</v>
      </c>
      <c r="Q69" s="6"/>
    </row>
    <row r="70" spans="1:17" ht="28.8" x14ac:dyDescent="0.3">
      <c r="A70" s="7" t="s">
        <v>265</v>
      </c>
      <c r="B70" s="7" t="s">
        <v>266</v>
      </c>
      <c r="C70" s="7" t="s">
        <v>26</v>
      </c>
      <c r="D70" s="7" t="s">
        <v>25</v>
      </c>
      <c r="E70" s="7" t="s">
        <v>267</v>
      </c>
      <c r="F70" s="7" t="s">
        <v>268</v>
      </c>
      <c r="G70" s="8">
        <v>2</v>
      </c>
      <c r="H70" s="7" t="s">
        <v>269</v>
      </c>
      <c r="I70" s="8">
        <v>2</v>
      </c>
      <c r="J70" s="7" t="s">
        <v>270</v>
      </c>
      <c r="K70" s="8">
        <v>2</v>
      </c>
      <c r="L70" s="8">
        <f t="shared" si="9"/>
        <v>1</v>
      </c>
      <c r="M70" s="8">
        <f t="shared" si="10"/>
        <v>1</v>
      </c>
      <c r="N70" s="8">
        <f t="shared" si="11"/>
        <v>1</v>
      </c>
      <c r="O70" s="8">
        <f t="shared" si="12"/>
        <v>1</v>
      </c>
      <c r="P70" s="7" t="str">
        <f t="shared" si="13"/>
        <v>UC + BR + WF</v>
      </c>
      <c r="Q70" s="6"/>
    </row>
    <row r="71" spans="1:17" ht="28.8" x14ac:dyDescent="0.3">
      <c r="A71" s="7" t="s">
        <v>271</v>
      </c>
      <c r="B71" s="7" t="s">
        <v>266</v>
      </c>
      <c r="C71" s="7" t="s">
        <v>26</v>
      </c>
      <c r="D71" s="7" t="s">
        <v>25</v>
      </c>
      <c r="E71" s="7" t="s">
        <v>272</v>
      </c>
      <c r="F71" s="7" t="s">
        <v>85</v>
      </c>
      <c r="G71" s="8">
        <v>1</v>
      </c>
      <c r="H71" s="7"/>
      <c r="I71" s="8">
        <v>0</v>
      </c>
      <c r="J71" s="7"/>
      <c r="K71" s="8">
        <v>0</v>
      </c>
      <c r="L71" s="8">
        <f t="shared" si="9"/>
        <v>1</v>
      </c>
      <c r="M71" s="8">
        <f t="shared" si="10"/>
        <v>0</v>
      </c>
      <c r="N71" s="8">
        <f t="shared" si="11"/>
        <v>0</v>
      </c>
      <c r="O71" s="8">
        <f t="shared" si="12"/>
        <v>1</v>
      </c>
      <c r="P71" s="7" t="str">
        <f t="shared" si="13"/>
        <v>UC</v>
      </c>
      <c r="Q71" s="6"/>
    </row>
    <row r="72" spans="1:17" s="12" customFormat="1" ht="28.8" x14ac:dyDescent="0.3">
      <c r="A72" s="9" t="s">
        <v>273</v>
      </c>
      <c r="B72" s="9" t="s">
        <v>266</v>
      </c>
      <c r="C72" s="9" t="s">
        <v>26</v>
      </c>
      <c r="D72" s="9" t="s">
        <v>25</v>
      </c>
      <c r="E72" s="9" t="s">
        <v>274</v>
      </c>
      <c r="F72" s="9"/>
      <c r="G72" s="10">
        <v>0</v>
      </c>
      <c r="H72" s="9"/>
      <c r="I72" s="10">
        <v>0</v>
      </c>
      <c r="J72" s="9" t="s">
        <v>120</v>
      </c>
      <c r="K72" s="10">
        <v>1</v>
      </c>
      <c r="L72" s="10">
        <f t="shared" si="9"/>
        <v>0</v>
      </c>
      <c r="M72" s="10">
        <f t="shared" si="10"/>
        <v>0</v>
      </c>
      <c r="N72" s="10">
        <f t="shared" si="11"/>
        <v>1</v>
      </c>
      <c r="O72" s="10">
        <f t="shared" si="12"/>
        <v>1</v>
      </c>
      <c r="P72" s="7" t="str">
        <f t="shared" si="13"/>
        <v>WF</v>
      </c>
      <c r="Q72" s="11"/>
    </row>
    <row r="73" spans="1:17" x14ac:dyDescent="0.3">
      <c r="A73" s="7" t="s">
        <v>275</v>
      </c>
      <c r="B73" s="7" t="s">
        <v>266</v>
      </c>
      <c r="C73" s="7" t="s">
        <v>26</v>
      </c>
      <c r="D73" s="7" t="s">
        <v>25</v>
      </c>
      <c r="E73" s="7" t="s">
        <v>276</v>
      </c>
      <c r="F73" s="7" t="s">
        <v>149</v>
      </c>
      <c r="G73" s="8">
        <v>1</v>
      </c>
      <c r="H73" s="7"/>
      <c r="I73" s="8">
        <v>0</v>
      </c>
      <c r="J73" s="7" t="s">
        <v>144</v>
      </c>
      <c r="K73" s="8">
        <v>1</v>
      </c>
      <c r="L73" s="8">
        <f t="shared" si="9"/>
        <v>1</v>
      </c>
      <c r="M73" s="8">
        <f t="shared" si="10"/>
        <v>0</v>
      </c>
      <c r="N73" s="8">
        <f t="shared" si="11"/>
        <v>1</v>
      </c>
      <c r="O73" s="8">
        <f t="shared" si="12"/>
        <v>1</v>
      </c>
      <c r="P73" s="7" t="str">
        <f t="shared" si="13"/>
        <v>UC + WF</v>
      </c>
      <c r="Q73" s="6"/>
    </row>
    <row r="74" spans="1:17" ht="28.8" x14ac:dyDescent="0.3">
      <c r="A74" s="7" t="s">
        <v>277</v>
      </c>
      <c r="B74" s="7" t="s">
        <v>266</v>
      </c>
      <c r="C74" s="7" t="s">
        <v>26</v>
      </c>
      <c r="D74" s="7" t="s">
        <v>25</v>
      </c>
      <c r="E74" s="7" t="s">
        <v>278</v>
      </c>
      <c r="F74" s="7" t="s">
        <v>169</v>
      </c>
      <c r="G74" s="8">
        <v>1</v>
      </c>
      <c r="H74" s="7" t="s">
        <v>170</v>
      </c>
      <c r="I74" s="8">
        <v>1</v>
      </c>
      <c r="J74" s="7" t="s">
        <v>160</v>
      </c>
      <c r="K74" s="8">
        <v>1</v>
      </c>
      <c r="L74" s="8">
        <f t="shared" si="9"/>
        <v>1</v>
      </c>
      <c r="M74" s="8">
        <f t="shared" si="10"/>
        <v>1</v>
      </c>
      <c r="N74" s="8">
        <f t="shared" si="11"/>
        <v>1</v>
      </c>
      <c r="O74" s="8">
        <f t="shared" si="12"/>
        <v>1</v>
      </c>
      <c r="P74" s="7" t="str">
        <f t="shared" si="13"/>
        <v>UC + BR + WF</v>
      </c>
      <c r="Q74" s="6"/>
    </row>
    <row r="75" spans="1:17" x14ac:dyDescent="0.3">
      <c r="A75" s="7" t="s">
        <v>279</v>
      </c>
      <c r="B75" s="7" t="s">
        <v>266</v>
      </c>
      <c r="C75" s="7" t="s">
        <v>26</v>
      </c>
      <c r="D75" s="7" t="s">
        <v>25</v>
      </c>
      <c r="E75" s="7" t="s">
        <v>280</v>
      </c>
      <c r="F75" s="7" t="s">
        <v>181</v>
      </c>
      <c r="G75" s="8">
        <v>1</v>
      </c>
      <c r="H75" s="7"/>
      <c r="I75" s="8">
        <v>0</v>
      </c>
      <c r="J75" s="7" t="s">
        <v>183</v>
      </c>
      <c r="K75" s="8">
        <v>1</v>
      </c>
      <c r="L75" s="8">
        <f t="shared" si="9"/>
        <v>1</v>
      </c>
      <c r="M75" s="8">
        <f t="shared" si="10"/>
        <v>0</v>
      </c>
      <c r="N75" s="8">
        <f t="shared" si="11"/>
        <v>1</v>
      </c>
      <c r="O75" s="8">
        <f t="shared" si="12"/>
        <v>1</v>
      </c>
      <c r="P75" s="7" t="str">
        <f t="shared" si="13"/>
        <v>UC + WF</v>
      </c>
      <c r="Q75" s="6"/>
    </row>
    <row r="76" spans="1:17" x14ac:dyDescent="0.3">
      <c r="A76" s="7" t="s">
        <v>281</v>
      </c>
      <c r="B76" s="7" t="s">
        <v>266</v>
      </c>
      <c r="C76" s="7" t="s">
        <v>26</v>
      </c>
      <c r="D76" s="7" t="s">
        <v>25</v>
      </c>
      <c r="E76" s="7" t="s">
        <v>282</v>
      </c>
      <c r="F76" s="7" t="s">
        <v>227</v>
      </c>
      <c r="G76" s="8">
        <v>1</v>
      </c>
      <c r="H76" s="7"/>
      <c r="I76" s="8">
        <v>0</v>
      </c>
      <c r="J76" s="7" t="s">
        <v>229</v>
      </c>
      <c r="K76" s="8">
        <v>1</v>
      </c>
      <c r="L76" s="8">
        <f t="shared" si="9"/>
        <v>1</v>
      </c>
      <c r="M76" s="8">
        <f t="shared" si="10"/>
        <v>0</v>
      </c>
      <c r="N76" s="8">
        <f t="shared" si="11"/>
        <v>1</v>
      </c>
      <c r="O76" s="8">
        <f t="shared" si="12"/>
        <v>1</v>
      </c>
      <c r="P76" s="7" t="str">
        <f t="shared" si="13"/>
        <v>UC + WF</v>
      </c>
      <c r="Q76" s="6"/>
    </row>
    <row r="77" spans="1:17" x14ac:dyDescent="0.3">
      <c r="A77" s="7" t="s">
        <v>283</v>
      </c>
      <c r="B77" s="7" t="s">
        <v>284</v>
      </c>
      <c r="C77" s="7" t="s">
        <v>19</v>
      </c>
      <c r="D77" s="7" t="s">
        <v>29</v>
      </c>
      <c r="E77" s="7" t="s">
        <v>285</v>
      </c>
      <c r="F77" s="7" t="s">
        <v>286</v>
      </c>
      <c r="G77" s="8">
        <v>1</v>
      </c>
      <c r="H77" s="7"/>
      <c r="I77" s="8">
        <v>0</v>
      </c>
      <c r="J77" s="7" t="s">
        <v>287</v>
      </c>
      <c r="K77" s="8">
        <v>1</v>
      </c>
      <c r="L77" s="8">
        <f t="shared" si="9"/>
        <v>1</v>
      </c>
      <c r="M77" s="8">
        <f t="shared" si="10"/>
        <v>0</v>
      </c>
      <c r="N77" s="8">
        <f t="shared" si="11"/>
        <v>1</v>
      </c>
      <c r="O77" s="8">
        <f t="shared" si="12"/>
        <v>1</v>
      </c>
      <c r="P77" s="7" t="str">
        <f t="shared" si="13"/>
        <v>UC + WF</v>
      </c>
      <c r="Q77" s="6"/>
    </row>
    <row r="78" spans="1:17" x14ac:dyDescent="0.3">
      <c r="A78" s="7" t="s">
        <v>288</v>
      </c>
      <c r="B78" s="7" t="s">
        <v>284</v>
      </c>
      <c r="C78" s="7" t="s">
        <v>19</v>
      </c>
      <c r="D78" s="7" t="s">
        <v>29</v>
      </c>
      <c r="E78" s="7" t="s">
        <v>289</v>
      </c>
      <c r="F78" s="7" t="s">
        <v>202</v>
      </c>
      <c r="G78" s="8">
        <v>1</v>
      </c>
      <c r="H78" s="7"/>
      <c r="I78" s="8">
        <v>0</v>
      </c>
      <c r="J78" s="7" t="s">
        <v>287</v>
      </c>
      <c r="K78" s="8">
        <v>1</v>
      </c>
      <c r="L78" s="8">
        <f t="shared" si="9"/>
        <v>1</v>
      </c>
      <c r="M78" s="8">
        <f t="shared" si="10"/>
        <v>0</v>
      </c>
      <c r="N78" s="8">
        <f t="shared" si="11"/>
        <v>1</v>
      </c>
      <c r="O78" s="8">
        <f t="shared" si="12"/>
        <v>1</v>
      </c>
      <c r="P78" s="7" t="str">
        <f t="shared" si="13"/>
        <v>UC + WF</v>
      </c>
      <c r="Q78" s="6"/>
    </row>
    <row r="79" spans="1:17" x14ac:dyDescent="0.3">
      <c r="A79" s="7" t="s">
        <v>290</v>
      </c>
      <c r="B79" s="7" t="s">
        <v>284</v>
      </c>
      <c r="C79" s="7" t="s">
        <v>19</v>
      </c>
      <c r="D79" s="7" t="s">
        <v>29</v>
      </c>
      <c r="E79" s="7" t="s">
        <v>291</v>
      </c>
      <c r="F79" s="7" t="s">
        <v>292</v>
      </c>
      <c r="G79" s="8">
        <v>1</v>
      </c>
      <c r="H79" s="7"/>
      <c r="I79" s="8">
        <v>0</v>
      </c>
      <c r="J79" s="7" t="s">
        <v>287</v>
      </c>
      <c r="K79" s="8">
        <v>1</v>
      </c>
      <c r="L79" s="8">
        <f t="shared" si="9"/>
        <v>1</v>
      </c>
      <c r="M79" s="8">
        <f t="shared" si="10"/>
        <v>0</v>
      </c>
      <c r="N79" s="8">
        <f t="shared" si="11"/>
        <v>1</v>
      </c>
      <c r="O79" s="8">
        <f t="shared" si="12"/>
        <v>1</v>
      </c>
      <c r="P79" s="7" t="str">
        <f t="shared" si="13"/>
        <v>UC + WF</v>
      </c>
      <c r="Q79" s="6"/>
    </row>
    <row r="80" spans="1:17" x14ac:dyDescent="0.3">
      <c r="A80" s="7" t="s">
        <v>293</v>
      </c>
      <c r="B80" s="7" t="s">
        <v>284</v>
      </c>
      <c r="C80" s="7" t="s">
        <v>19</v>
      </c>
      <c r="D80" s="7" t="s">
        <v>29</v>
      </c>
      <c r="E80" s="7" t="s">
        <v>294</v>
      </c>
      <c r="F80" s="7" t="s">
        <v>202</v>
      </c>
      <c r="G80" s="8">
        <v>1</v>
      </c>
      <c r="H80" s="7"/>
      <c r="I80" s="8">
        <v>0</v>
      </c>
      <c r="J80" s="7" t="s">
        <v>287</v>
      </c>
      <c r="K80" s="8">
        <v>1</v>
      </c>
      <c r="L80" s="8">
        <f t="shared" si="9"/>
        <v>1</v>
      </c>
      <c r="M80" s="8">
        <f t="shared" si="10"/>
        <v>0</v>
      </c>
      <c r="N80" s="8">
        <f t="shared" si="11"/>
        <v>1</v>
      </c>
      <c r="O80" s="8">
        <f t="shared" si="12"/>
        <v>1</v>
      </c>
      <c r="P80" s="7" t="str">
        <f t="shared" si="13"/>
        <v>UC + WF</v>
      </c>
      <c r="Q80" s="6"/>
    </row>
    <row r="81" spans="1:17" x14ac:dyDescent="0.3">
      <c r="A81" s="7" t="s">
        <v>295</v>
      </c>
      <c r="B81" s="7" t="s">
        <v>284</v>
      </c>
      <c r="C81" s="7" t="s">
        <v>41</v>
      </c>
      <c r="D81" s="7" t="s">
        <v>25</v>
      </c>
      <c r="E81" s="7" t="s">
        <v>296</v>
      </c>
      <c r="F81" s="7" t="s">
        <v>297</v>
      </c>
      <c r="G81" s="8">
        <v>2</v>
      </c>
      <c r="H81" s="7" t="s">
        <v>298</v>
      </c>
      <c r="I81" s="8">
        <v>1</v>
      </c>
      <c r="J81" s="7" t="s">
        <v>287</v>
      </c>
      <c r="K81" s="8">
        <v>1</v>
      </c>
      <c r="L81" s="8">
        <f t="shared" si="9"/>
        <v>1</v>
      </c>
      <c r="M81" s="8">
        <f t="shared" si="10"/>
        <v>1</v>
      </c>
      <c r="N81" s="8">
        <f t="shared" si="11"/>
        <v>1</v>
      </c>
      <c r="O81" s="8">
        <f t="shared" si="12"/>
        <v>1</v>
      </c>
      <c r="P81" s="7" t="str">
        <f t="shared" si="13"/>
        <v>UC + BR + WF</v>
      </c>
      <c r="Q81" s="6"/>
    </row>
    <row r="82" spans="1:17" x14ac:dyDescent="0.3">
      <c r="A82" s="7" t="s">
        <v>299</v>
      </c>
      <c r="B82" s="7" t="s">
        <v>284</v>
      </c>
      <c r="C82" s="7" t="s">
        <v>41</v>
      </c>
      <c r="D82" s="7" t="s">
        <v>25</v>
      </c>
      <c r="E82" s="7" t="s">
        <v>300</v>
      </c>
      <c r="F82" s="7" t="s">
        <v>297</v>
      </c>
      <c r="G82" s="8">
        <v>2</v>
      </c>
      <c r="H82" s="7" t="s">
        <v>298</v>
      </c>
      <c r="I82" s="8">
        <v>1</v>
      </c>
      <c r="J82" s="7" t="s">
        <v>287</v>
      </c>
      <c r="K82" s="8">
        <v>1</v>
      </c>
      <c r="L82" s="8">
        <f t="shared" si="9"/>
        <v>1</v>
      </c>
      <c r="M82" s="8">
        <f t="shared" si="10"/>
        <v>1</v>
      </c>
      <c r="N82" s="8">
        <f t="shared" si="11"/>
        <v>1</v>
      </c>
      <c r="O82" s="8">
        <f t="shared" si="12"/>
        <v>1</v>
      </c>
      <c r="P82" s="7" t="str">
        <f t="shared" si="13"/>
        <v>UC + BR + WF</v>
      </c>
      <c r="Q82" s="6"/>
    </row>
    <row r="83" spans="1:17" ht="28.8" x14ac:dyDescent="0.3">
      <c r="A83" s="7" t="s">
        <v>301</v>
      </c>
      <c r="B83" s="7" t="s">
        <v>284</v>
      </c>
      <c r="C83" s="7" t="s">
        <v>26</v>
      </c>
      <c r="D83" s="7" t="s">
        <v>25</v>
      </c>
      <c r="E83" s="7" t="s">
        <v>302</v>
      </c>
      <c r="F83" s="7" t="s">
        <v>202</v>
      </c>
      <c r="G83" s="8">
        <v>1</v>
      </c>
      <c r="H83" s="7"/>
      <c r="I83" s="8">
        <v>0</v>
      </c>
      <c r="J83" s="7" t="s">
        <v>287</v>
      </c>
      <c r="K83" s="8">
        <v>1</v>
      </c>
      <c r="L83" s="8">
        <f t="shared" si="9"/>
        <v>1</v>
      </c>
      <c r="M83" s="8">
        <f t="shared" si="10"/>
        <v>0</v>
      </c>
      <c r="N83" s="8">
        <f t="shared" si="11"/>
        <v>1</v>
      </c>
      <c r="O83" s="8">
        <f t="shared" si="12"/>
        <v>1</v>
      </c>
      <c r="P83" s="7" t="str">
        <f t="shared" si="13"/>
        <v>UC + WF</v>
      </c>
      <c r="Q83" s="7" t="s">
        <v>353</v>
      </c>
    </row>
    <row r="84" spans="1:17" ht="28.8" x14ac:dyDescent="0.3">
      <c r="A84" s="7" t="s">
        <v>303</v>
      </c>
      <c r="B84" s="7" t="s">
        <v>284</v>
      </c>
      <c r="C84" s="7" t="s">
        <v>26</v>
      </c>
      <c r="D84" s="7" t="s">
        <v>25</v>
      </c>
      <c r="E84" s="7" t="s">
        <v>304</v>
      </c>
      <c r="F84" s="7" t="s">
        <v>202</v>
      </c>
      <c r="G84" s="8">
        <v>1</v>
      </c>
      <c r="H84" s="7"/>
      <c r="I84" s="8">
        <v>0</v>
      </c>
      <c r="J84" s="7" t="s">
        <v>287</v>
      </c>
      <c r="K84" s="8">
        <v>1</v>
      </c>
      <c r="L84" s="8">
        <f t="shared" si="9"/>
        <v>1</v>
      </c>
      <c r="M84" s="8">
        <f t="shared" si="10"/>
        <v>0</v>
      </c>
      <c r="N84" s="8">
        <f t="shared" si="11"/>
        <v>1</v>
      </c>
      <c r="O84" s="8">
        <f t="shared" si="12"/>
        <v>1</v>
      </c>
      <c r="P84" s="7" t="str">
        <f t="shared" si="13"/>
        <v>UC + WF</v>
      </c>
      <c r="Q84" s="6"/>
    </row>
    <row r="85" spans="1:17" ht="28.8" x14ac:dyDescent="0.3">
      <c r="A85" s="7" t="s">
        <v>305</v>
      </c>
      <c r="B85" s="7" t="s">
        <v>284</v>
      </c>
      <c r="C85" s="7" t="s">
        <v>41</v>
      </c>
      <c r="D85" s="7" t="s">
        <v>25</v>
      </c>
      <c r="E85" s="7" t="s">
        <v>306</v>
      </c>
      <c r="F85" s="7"/>
      <c r="G85" s="8">
        <v>0</v>
      </c>
      <c r="H85" s="7" t="s">
        <v>307</v>
      </c>
      <c r="I85" s="8">
        <v>3</v>
      </c>
      <c r="J85" s="7" t="s">
        <v>287</v>
      </c>
      <c r="K85" s="8">
        <v>1</v>
      </c>
      <c r="L85" s="8">
        <f t="shared" si="9"/>
        <v>0</v>
      </c>
      <c r="M85" s="8">
        <f t="shared" si="10"/>
        <v>1</v>
      </c>
      <c r="N85" s="8">
        <f t="shared" si="11"/>
        <v>1</v>
      </c>
      <c r="O85" s="8">
        <f t="shared" si="12"/>
        <v>1</v>
      </c>
      <c r="P85" s="7" t="str">
        <f t="shared" si="13"/>
        <v>BR + WF</v>
      </c>
      <c r="Q85" s="6"/>
    </row>
    <row r="86" spans="1:17" x14ac:dyDescent="0.3">
      <c r="A86" s="7" t="s">
        <v>308</v>
      </c>
      <c r="B86" s="7" t="s">
        <v>309</v>
      </c>
      <c r="C86" s="7" t="s">
        <v>19</v>
      </c>
      <c r="D86" s="7" t="s">
        <v>29</v>
      </c>
      <c r="E86" s="7" t="s">
        <v>310</v>
      </c>
      <c r="F86" s="7" t="s">
        <v>311</v>
      </c>
      <c r="G86" s="8">
        <v>1</v>
      </c>
      <c r="H86" s="7" t="s">
        <v>312</v>
      </c>
      <c r="I86" s="8">
        <v>1</v>
      </c>
      <c r="J86" s="7" t="s">
        <v>287</v>
      </c>
      <c r="K86" s="8">
        <v>1</v>
      </c>
      <c r="L86" s="8">
        <f t="shared" si="9"/>
        <v>1</v>
      </c>
      <c r="M86" s="8">
        <f t="shared" si="10"/>
        <v>1</v>
      </c>
      <c r="N86" s="8">
        <f t="shared" si="11"/>
        <v>1</v>
      </c>
      <c r="O86" s="8">
        <f t="shared" si="12"/>
        <v>1</v>
      </c>
      <c r="P86" s="7" t="str">
        <f t="shared" si="13"/>
        <v>UC + BR + WF</v>
      </c>
      <c r="Q86" s="6"/>
    </row>
    <row r="87" spans="1:17" x14ac:dyDescent="0.3">
      <c r="A87" s="7" t="s">
        <v>313</v>
      </c>
      <c r="B87" s="7" t="s">
        <v>309</v>
      </c>
      <c r="C87" s="7" t="s">
        <v>19</v>
      </c>
      <c r="D87" s="7" t="s">
        <v>29</v>
      </c>
      <c r="E87" s="7" t="s">
        <v>314</v>
      </c>
      <c r="F87" s="7" t="s">
        <v>315</v>
      </c>
      <c r="G87" s="8">
        <v>1</v>
      </c>
      <c r="H87" s="7" t="s">
        <v>316</v>
      </c>
      <c r="I87" s="8">
        <v>2</v>
      </c>
      <c r="J87" s="7" t="s">
        <v>287</v>
      </c>
      <c r="K87" s="8">
        <v>1</v>
      </c>
      <c r="L87" s="8">
        <f t="shared" si="9"/>
        <v>1</v>
      </c>
      <c r="M87" s="8">
        <f t="shared" si="10"/>
        <v>1</v>
      </c>
      <c r="N87" s="8">
        <f t="shared" si="11"/>
        <v>1</v>
      </c>
      <c r="O87" s="8">
        <f t="shared" si="12"/>
        <v>1</v>
      </c>
      <c r="P87" s="7" t="str">
        <f t="shared" si="13"/>
        <v>UC + BR + WF</v>
      </c>
      <c r="Q87" s="6"/>
    </row>
    <row r="88" spans="1:17" ht="28.8" x14ac:dyDescent="0.3">
      <c r="A88" s="7" t="s">
        <v>317</v>
      </c>
      <c r="B88" s="7" t="s">
        <v>309</v>
      </c>
      <c r="C88" s="7" t="s">
        <v>19</v>
      </c>
      <c r="D88" s="7" t="s">
        <v>29</v>
      </c>
      <c r="E88" s="7" t="s">
        <v>318</v>
      </c>
      <c r="F88" s="7" t="s">
        <v>286</v>
      </c>
      <c r="G88" s="8">
        <v>1</v>
      </c>
      <c r="H88" s="7" t="s">
        <v>298</v>
      </c>
      <c r="I88" s="8">
        <v>1</v>
      </c>
      <c r="J88" s="7" t="s">
        <v>287</v>
      </c>
      <c r="K88" s="8">
        <v>1</v>
      </c>
      <c r="L88" s="8">
        <f t="shared" si="9"/>
        <v>1</v>
      </c>
      <c r="M88" s="8">
        <f t="shared" si="10"/>
        <v>1</v>
      </c>
      <c r="N88" s="8">
        <f t="shared" si="11"/>
        <v>1</v>
      </c>
      <c r="O88" s="8">
        <f t="shared" si="12"/>
        <v>1</v>
      </c>
      <c r="P88" s="7" t="str">
        <f t="shared" si="13"/>
        <v>UC + BR + WF</v>
      </c>
      <c r="Q88" s="6"/>
    </row>
    <row r="89" spans="1:17" ht="28.8" x14ac:dyDescent="0.3">
      <c r="A89" s="7" t="s">
        <v>319</v>
      </c>
      <c r="B89" s="7" t="s">
        <v>309</v>
      </c>
      <c r="C89" s="7" t="s">
        <v>19</v>
      </c>
      <c r="D89" s="7" t="s">
        <v>29</v>
      </c>
      <c r="E89" s="7" t="s">
        <v>320</v>
      </c>
      <c r="F89" s="7" t="s">
        <v>292</v>
      </c>
      <c r="G89" s="8">
        <v>1</v>
      </c>
      <c r="H89" s="7" t="s">
        <v>298</v>
      </c>
      <c r="I89" s="8">
        <v>1</v>
      </c>
      <c r="J89" s="7" t="s">
        <v>287</v>
      </c>
      <c r="K89" s="8">
        <v>1</v>
      </c>
      <c r="L89" s="8">
        <f t="shared" si="9"/>
        <v>1</v>
      </c>
      <c r="M89" s="8">
        <f t="shared" si="10"/>
        <v>1</v>
      </c>
      <c r="N89" s="8">
        <f t="shared" si="11"/>
        <v>1</v>
      </c>
      <c r="O89" s="8">
        <f t="shared" si="12"/>
        <v>1</v>
      </c>
      <c r="P89" s="7" t="str">
        <f t="shared" si="13"/>
        <v>UC + BR + WF</v>
      </c>
      <c r="Q89" s="6"/>
    </row>
    <row r="90" spans="1:17" ht="28.8" x14ac:dyDescent="0.3">
      <c r="A90" s="7" t="s">
        <v>321</v>
      </c>
      <c r="B90" s="7" t="s">
        <v>78</v>
      </c>
      <c r="C90" s="7" t="s">
        <v>19</v>
      </c>
      <c r="D90" s="7" t="s">
        <v>18</v>
      </c>
      <c r="E90" s="7" t="s">
        <v>322</v>
      </c>
      <c r="F90" s="7" t="s">
        <v>323</v>
      </c>
      <c r="G90" s="8">
        <v>1</v>
      </c>
      <c r="H90" s="7" t="s">
        <v>47</v>
      </c>
      <c r="I90" s="8">
        <v>1</v>
      </c>
      <c r="J90" s="7"/>
      <c r="K90" s="8">
        <v>0</v>
      </c>
      <c r="L90" s="8">
        <f t="shared" si="9"/>
        <v>1</v>
      </c>
      <c r="M90" s="8">
        <f t="shared" si="10"/>
        <v>1</v>
      </c>
      <c r="N90" s="8">
        <f t="shared" si="11"/>
        <v>0</v>
      </c>
      <c r="O90" s="8">
        <f t="shared" si="12"/>
        <v>1</v>
      </c>
      <c r="P90" s="7" t="str">
        <f t="shared" si="13"/>
        <v>UC + BR</v>
      </c>
      <c r="Q90" s="6"/>
    </row>
    <row r="91" spans="1:17" ht="28.8" x14ac:dyDescent="0.3">
      <c r="A91" s="7" t="s">
        <v>324</v>
      </c>
      <c r="B91" s="7" t="s">
        <v>95</v>
      </c>
      <c r="C91" s="7" t="s">
        <v>19</v>
      </c>
      <c r="D91" s="7" t="s">
        <v>18</v>
      </c>
      <c r="E91" s="7" t="s">
        <v>325</v>
      </c>
      <c r="F91" s="7" t="s">
        <v>114</v>
      </c>
      <c r="G91" s="8">
        <v>1</v>
      </c>
      <c r="H91" s="7" t="s">
        <v>47</v>
      </c>
      <c r="I91" s="8">
        <v>1</v>
      </c>
      <c r="J91" s="7" t="s">
        <v>87</v>
      </c>
      <c r="K91" s="8">
        <v>1</v>
      </c>
      <c r="L91" s="8">
        <f t="shared" si="9"/>
        <v>1</v>
      </c>
      <c r="M91" s="8">
        <f t="shared" si="10"/>
        <v>1</v>
      </c>
      <c r="N91" s="8">
        <f t="shared" si="11"/>
        <v>1</v>
      </c>
      <c r="O91" s="8">
        <f t="shared" si="12"/>
        <v>1</v>
      </c>
      <c r="P91" s="7" t="str">
        <f t="shared" si="13"/>
        <v>UC + BR + WF</v>
      </c>
      <c r="Q91" s="6"/>
    </row>
    <row r="92" spans="1:17" ht="28.8" x14ac:dyDescent="0.3">
      <c r="A92" s="7" t="s">
        <v>326</v>
      </c>
      <c r="B92" s="7" t="s">
        <v>95</v>
      </c>
      <c r="C92" s="7" t="s">
        <v>19</v>
      </c>
      <c r="D92" s="7" t="s">
        <v>68</v>
      </c>
      <c r="E92" s="7" t="s">
        <v>327</v>
      </c>
      <c r="F92" s="7" t="s">
        <v>328</v>
      </c>
      <c r="G92" s="8">
        <v>1</v>
      </c>
      <c r="H92" s="7" t="s">
        <v>47</v>
      </c>
      <c r="I92" s="8">
        <v>1</v>
      </c>
      <c r="J92" s="7" t="s">
        <v>87</v>
      </c>
      <c r="K92" s="8">
        <v>1</v>
      </c>
      <c r="L92" s="8">
        <f t="shared" si="9"/>
        <v>1</v>
      </c>
      <c r="M92" s="8">
        <f t="shared" si="10"/>
        <v>1</v>
      </c>
      <c r="N92" s="8">
        <f t="shared" si="11"/>
        <v>1</v>
      </c>
      <c r="O92" s="8">
        <f t="shared" si="12"/>
        <v>1</v>
      </c>
      <c r="P92" s="7" t="str">
        <f t="shared" si="13"/>
        <v>UC + BR + WF</v>
      </c>
      <c r="Q9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workbookViewId="0"/>
  </sheetViews>
  <sheetFormatPr defaultRowHeight="14.4" x14ac:dyDescent="0.3"/>
  <cols>
    <col min="1" max="1" width="32" customWidth="1"/>
    <col min="2" max="2" width="12" customWidth="1"/>
    <col min="4" max="4" width="24" customWidth="1"/>
    <col min="5" max="5" width="12" customWidth="1"/>
    <col min="7" max="7" width="52" customWidth="1"/>
  </cols>
  <sheetData>
    <row r="1" spans="1:7" ht="18" x14ac:dyDescent="0.35">
      <c r="A1" s="1" t="s">
        <v>329</v>
      </c>
    </row>
    <row r="3" spans="1:7" ht="15.6" x14ac:dyDescent="0.3">
      <c r="A3" s="2" t="s">
        <v>330</v>
      </c>
      <c r="D3" s="2" t="s">
        <v>331</v>
      </c>
      <c r="G3" s="2" t="s">
        <v>332</v>
      </c>
    </row>
    <row r="4" spans="1:7" x14ac:dyDescent="0.3">
      <c r="A4" s="4" t="s">
        <v>333</v>
      </c>
      <c r="B4">
        <f>COUNTA(FR_Coverage_Detail!A2:A2000)</f>
        <v>91</v>
      </c>
      <c r="D4" s="4" t="s">
        <v>334</v>
      </c>
      <c r="E4" s="5">
        <f>B8/B4</f>
        <v>0.96703296703296704</v>
      </c>
      <c r="G4" t="s">
        <v>335</v>
      </c>
    </row>
    <row r="5" spans="1:7" x14ac:dyDescent="0.3">
      <c r="A5" s="4" t="s">
        <v>336</v>
      </c>
      <c r="B5">
        <f>COUNTA(#REF!)</f>
        <v>1</v>
      </c>
      <c r="D5" s="4" t="s">
        <v>337</v>
      </c>
      <c r="E5" s="5">
        <f>B9/B4</f>
        <v>0.68131868131868134</v>
      </c>
    </row>
    <row r="6" spans="1:7" x14ac:dyDescent="0.3">
      <c r="A6" s="4" t="s">
        <v>338</v>
      </c>
      <c r="B6">
        <f>COUNTA(#REF!)</f>
        <v>1</v>
      </c>
      <c r="D6" s="4" t="s">
        <v>339</v>
      </c>
      <c r="E6" s="5">
        <f>B10/B4</f>
        <v>0.92307692307692313</v>
      </c>
    </row>
    <row r="7" spans="1:7" x14ac:dyDescent="0.3">
      <c r="A7" s="4" t="s">
        <v>340</v>
      </c>
      <c r="B7">
        <f>COUNTA(#REF!)</f>
        <v>1</v>
      </c>
      <c r="D7" s="4" t="s">
        <v>341</v>
      </c>
      <c r="E7" s="5">
        <f>B11/B4</f>
        <v>1</v>
      </c>
    </row>
    <row r="8" spans="1:7" x14ac:dyDescent="0.3">
      <c r="A8" s="4" t="s">
        <v>342</v>
      </c>
      <c r="B8">
        <f>SUM(FR_Coverage_Detail!L2:L2000)</f>
        <v>88</v>
      </c>
    </row>
    <row r="9" spans="1:7" x14ac:dyDescent="0.3">
      <c r="A9" s="4" t="s">
        <v>343</v>
      </c>
      <c r="B9">
        <f>SUM(FR_Coverage_Detail!M2:M2000)</f>
        <v>62</v>
      </c>
    </row>
    <row r="10" spans="1:7" x14ac:dyDescent="0.3">
      <c r="A10" s="4" t="s">
        <v>344</v>
      </c>
      <c r="B10">
        <f>SUM(FR_Coverage_Detail!N2:N2000)</f>
        <v>84</v>
      </c>
    </row>
    <row r="11" spans="1:7" x14ac:dyDescent="0.3">
      <c r="A11" s="4" t="s">
        <v>345</v>
      </c>
      <c r="B11">
        <f>SUM(FR_Coverage_Detail!O2:O2000)</f>
        <v>91</v>
      </c>
    </row>
    <row r="12" spans="1:7" x14ac:dyDescent="0.3">
      <c r="A12" s="4" t="s">
        <v>346</v>
      </c>
      <c r="B12">
        <f>B4-B11</f>
        <v>0</v>
      </c>
    </row>
    <row r="15" spans="1:7" ht="15.6" x14ac:dyDescent="0.3">
      <c r="A15" s="2" t="s">
        <v>347</v>
      </c>
    </row>
    <row r="16" spans="1:7" x14ac:dyDescent="0.3">
      <c r="A16" t="s">
        <v>348</v>
      </c>
      <c r="B16">
        <f>B8</f>
        <v>88</v>
      </c>
    </row>
    <row r="17" spans="1:2" x14ac:dyDescent="0.3">
      <c r="A17" t="s">
        <v>349</v>
      </c>
      <c r="B17">
        <f>B9</f>
        <v>62</v>
      </c>
    </row>
    <row r="18" spans="1:2" x14ac:dyDescent="0.3">
      <c r="A18" t="s">
        <v>350</v>
      </c>
      <c r="B18">
        <f>B10</f>
        <v>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FR_Coverage_Detail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JAYESH UMRE</cp:lastModifiedBy>
  <dcterms:created xsi:type="dcterms:W3CDTF">2026-03-24T09:24:42Z</dcterms:created>
  <dcterms:modified xsi:type="dcterms:W3CDTF">2026-03-28T18:33:08Z</dcterms:modified>
</cp:coreProperties>
</file>